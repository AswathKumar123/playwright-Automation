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af1f0b11f465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actice" sheetId="1" r:id="Rbf30de576cde4537"/>
    <sheet xmlns:r="http://schemas.openxmlformats.org/officeDocument/2006/relationships" name="User Summary" sheetId="2" r:id="R908a210aeb134ea0"/>
    <sheet xmlns:r="http://schemas.openxmlformats.org/officeDocument/2006/relationships" name="Users" sheetId="3" r:id="R48006e2089414feb"/>
    <sheet xmlns:r="http://schemas.openxmlformats.org/officeDocument/2006/relationships" name="Goals" sheetId="4" r:id="R63d7bfc807d64232"/>
    <sheet xmlns:r="http://schemas.openxmlformats.org/officeDocument/2006/relationships" name="Transactions" sheetId="5" r:id="Rd7f8a1641e02414a"/>
    <sheet xmlns:r="http://schemas.openxmlformats.org/officeDocument/2006/relationships" name="Invalid Goals" sheetId="6" r:id="R43a6118def0848c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$#,##0.00"/>
    <numFmt numFmtId="201" formatCode="yyyy-mm-dd"/>
    <numFmt numFmtId="202" formatCode="0.0%"/>
  </numFmts>
  <fonts count="6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6"/>
      <color rgb="FF243B53"/>
      <name val="Arial"/>
    </font>
    <font>
      <b/>
      <sz val="11"/>
      <color rgb="FF243B53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1" fillId="0" borderId="0" xfId="0" applyNumberFormat="1" applyFont="1" applyFill="1" applyBorder="1"/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2" borderId="0" xfId="0" applyNumberFormat="1" applyFont="1" applyFill="1" applyBorder="1"/>
    <xf numFmtId="0" fontId="5" fillId="2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005d95525491d" /><Relationship Type="http://schemas.openxmlformats.org/officeDocument/2006/relationships/theme" Target="/xl/theme/theme1.xml" Id="Re1761039c66c4011" /><Relationship Type="http://schemas.openxmlformats.org/officeDocument/2006/relationships/sharedStrings" Target="/xl/sharedStrings.xml" Id="Rcebe887e5ca043c3" /><Relationship Type="http://schemas.openxmlformats.org/officeDocument/2006/relationships/worksheet" Target="/xl/worksheets/sheet1.xml" Id="Rbf30de576cde4537" /><Relationship Type="http://schemas.openxmlformats.org/officeDocument/2006/relationships/worksheet" Target="/xl/worksheets/sheet2.xml" Id="R908a210aeb134ea0" /><Relationship Type="http://schemas.openxmlformats.org/officeDocument/2006/relationships/worksheet" Target="/xl/worksheets/sheet3.xml" Id="R48006e2089414feb" /><Relationship Type="http://schemas.openxmlformats.org/officeDocument/2006/relationships/worksheet" Target="/xl/worksheets/sheet4.xml" Id="R63d7bfc807d64232" /><Relationship Type="http://schemas.openxmlformats.org/officeDocument/2006/relationships/worksheet" Target="/xl/worksheets/sheet5.xml" Id="Rd7f8a1641e02414a" /><Relationship Type="http://schemas.openxmlformats.org/officeDocument/2006/relationships/worksheet" Target="/xl/worksheets/sheet6.xml" Id="R43a6118def0848c6" /></Relationships>
</file>

<file path=xl/tables/table1.xml><?xml version="1.0" encoding="utf-8"?>
<table xmlns="http://schemas.openxmlformats.org/spreadsheetml/2006/main" id="6" name="ExercisesTable" displayName="ExercisesTable" ref="A16:E28" headerRowCount="1" totalsRowCount="0" totalsRowShown="0">
  <tableColumns count="5">
    <tableColumn id="1" name="exercise_id"/>
    <tableColumn id="2" name="exercise"/>
    <tableColumn id="3" name="what_to_do"/>
    <tableColumn id="4" name="expected_result"/>
    <tableColumn id="5" name="progr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UserSummaryTable" displayName="UserSummaryTable" ref="A1:G101" headerRowCount="1" totalsRowCount="0" totalsRowShown="0">
  <tableColumns count="7">
    <tableColumn id="1" name="user_id"/>
    <tableColumn id="2" name="goal_count"/>
    <tableColumn id="3" name="target_total"/>
    <tableColumn id="4" name="saved_total"/>
    <tableColumn id="5" name="income_total"/>
    <tableColumn id="6" name="expense_total"/>
    <tableColumn id="7" name="net_cash_flo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UsersTable" displayName="UsersTable" ref="A1:F101" headerRowCount="1" totalsRowCount="0" totalsRowShown="0">
  <tableColumns count="6">
    <tableColumn id="1" name="user_id"/>
    <tableColumn id="2" name="username"/>
    <tableColumn id="3" name="email"/>
    <tableColumn id="4" name="account_status"/>
    <tableColumn id="5" name="risk_profile"/>
    <tableColumn id="6" name="worker_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GoalsTable" displayName="GoalsTable" ref="A1:K301" headerRowCount="1" totalsRowCount="0" totalsRowShown="0">
  <tableColumns count="11">
    <tableColumn id="1" name="goal_id"/>
    <tableColumn id="2" name="user_id"/>
    <tableColumn id="3" name="goal_type"/>
    <tableColumn id="4" name="goal_name"/>
    <tableColumn id="5" name="target_amount"/>
    <tableColumn id="6" name="saved_amount"/>
    <tableColumn id="7" name="monthly_contribution"/>
    <tableColumn id="8" name="target_date"/>
    <tableColumn id="9" name="status"/>
    <tableColumn id="10" name="remaining_amount"/>
    <tableColumn id="11" name="progress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ransactionsTable" displayName="TransactionsTable" ref="A1:G401" headerRowCount="1" totalsRowCount="0" totalsRowShown="0">
  <tableColumns count="7">
    <tableColumn id="1" name="transaction_id"/>
    <tableColumn id="2" name="user_id"/>
    <tableColumn id="3" name="transaction_date"/>
    <tableColumn id="4" name="direction"/>
    <tableColumn id="5" name="category"/>
    <tableColumn id="6" name="amount"/>
    <tableColumn id="7" name="currenc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InvalidGoalsTable" displayName="InvalidGoalsTable" ref="A1:I9" headerRowCount="1" totalsRowCount="0" totalsRowShown="0">
  <tableColumns count="9">
    <tableColumn id="1" name="case_id"/>
    <tableColumn id="2" name="goal_id"/>
    <tableColumn id="3" name="user_id"/>
    <tableColumn id="4" name="goal_type"/>
    <tableColumn id="5" name="target_amount"/>
    <tableColumn id="6" name="saved_amount"/>
    <tableColumn id="7" name="monthly_contribution"/>
    <tableColumn id="8" name="target_date"/>
    <tableColumn id="9" name="expected_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e6d68cc1d67c43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84d14de4bf9d45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3.xml" Id="Rfde5e9d15d2442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../tables/table4.xml" Id="R5d01a99cbd9c41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5.xml" Id="R061db57258ab41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../tables/table6.xml" Id="Rbf737db6c25d4690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3" hidden="0" customWidth="1"/>
    <col min="2" max="2" width="54" hidden="0" customWidth="1"/>
    <col min="3" max="3" width="59" hidden="0" customWidth="1"/>
    <col min="4" max="4" width="49" hidden="0" customWidth="1"/>
    <col min="5" max="5" width="19" hidden="0" customWidth="1"/>
  </cols>
  <sheetData>
    <row r="2">
      <c r="A2" s="7" t="str">
        <v>Harbor Excel automation practice</v>
      </c>
    </row>
    <row r="4" ht="42" customHeight="1">
      <c r="A4" s="8" t="str">
        <v>Scope</v>
      </c>
      <c r="B4" s="9" t="str">
        <v>Synthetic data inspired by your financial-wellness project. Schema is proposed, not verified against the app.</v>
      </c>
    </row>
    <row r="5" ht="42" customHeight="1">
      <c r="A5" s="8" t="str">
        <v>Data</v>
      </c>
      <c r="B5" s="9" t="str">
        <v>100 users, 300 goals, 400 transactions, and 8 intentional invalid rows. All amounts are USD.</v>
      </c>
    </row>
    <row r="6" ht="42" customHeight="1">
      <c r="A6" s="8" t="str">
        <v>Logins</v>
      </c>
      <c r="B6" s="9" t="str">
        <v>Users are seed candidates. No passwords are included. Configure local test credentials separately.</v>
      </c>
    </row>
    <row r="7" ht="42" customHeight="1">
      <c r="A7" s="8" t="str">
        <v>Rules</v>
      </c>
      <c r="B7" s="9" t="str">
        <v>Goal types: RETIREMENT, EMERGENCY, COLLEGE. Target &gt; 0. Saved and contribution &gt;= 0. Unique goal ID. Existing user.</v>
      </c>
    </row>
    <row r="8" ht="42" customHeight="1">
      <c r="A8" s="8" t="str">
        <v>Imports</v>
      </c>
      <c r="B8" s="9" t="str">
        <v>Use only input columns in Goals A:I. J:K are report formulas. Map headers to your API or database schema.</v>
      </c>
    </row>
    <row r="9" ht="42" customHeight="1">
      <c r="A9" s="8" t="str">
        <v>Dates</v>
      </c>
      <c r="B9" s="9" t="str">
        <v>Goals and Transactions use Excel date cells. Convert to ISO yyyy-mm-dd before sending API requests.</v>
      </c>
    </row>
    <row r="10" ht="42" customHeight="1">
      <c r="A10" s="8" t="str">
        <v>Isolation</v>
      </c>
      <c r="B10" s="9" t="str">
        <v>Copy the workbook per worker. Do not let 100 workers write to one shared file. Seed unique users and reset after tests.</v>
      </c>
    </row>
    <row r="11" ht="42" customHeight="1">
      <c r="A11" s="8" t="str">
        <v>Formulas</v>
      </c>
      <c r="B11" s="9" t="str">
        <v>ExcelJS edits do not recalculate formulas. Assert raw data or calculate expected totals in TypeScript after edits.</v>
      </c>
    </row>
    <row r="12" ht="42" customHeight="1">
      <c r="A12" s="8" t="str">
        <v>App features</v>
      </c>
      <c r="B12" s="9" t="str">
        <v>Upload/export exercises require adding those app features if they are not already available.</v>
      </c>
    </row>
    <row r="13" ht="42" customHeight="1">
      <c r="A13" s="8" t="str">
        <v>Baseline U001</v>
      </c>
      <c r="B13" s="9" t="str">
        <v>3 goals. Target $155,000. Saved $35,300. Income $5,010. Expenses $2,700. Net cash flow $2,310.</v>
      </c>
    </row>
    <row r="16" ht="30" customHeight="1">
      <c r="A16" s="11" t="str">
        <v>exercise_id</v>
      </c>
      <c r="B16" s="11" t="str">
        <v>exercise</v>
      </c>
      <c r="C16" s="11" t="str">
        <v>what_to_do</v>
      </c>
      <c r="D16" s="11" t="str">
        <v>expected_result</v>
      </c>
      <c r="E16" s="11" t="str">
        <v>progress</v>
      </c>
    </row>
    <row r="17" ht="62" customHeight="1">
      <c r="A17" s="9" t="str">
        <v>EX01</v>
      </c>
      <c r="B17" s="9" t="str">
        <v>Read Users with ExcelJS</v>
      </c>
      <c r="C17" s="9" t="str">
        <v>Assert 100 unique user IDs and 100 unique usernames.</v>
      </c>
      <c r="D17" s="9" t="str">
        <v>100 records. 90 ACTIVE and 10 LOCKED.</v>
      </c>
      <c r="E17" s="9" t="str">
        <v>Not Started</v>
      </c>
    </row>
    <row r="18" ht="62" customHeight="1">
      <c r="A18" s="9" t="str">
        <v>EX02</v>
      </c>
      <c r="B18" s="9" t="str">
        <v>Filter goals by user</v>
      </c>
      <c r="C18" s="9" t="str">
        <v>Find U001 records and map columns to objects.</v>
      </c>
      <c r="D18" s="9" t="str">
        <v>G0001, G0002, G0003.</v>
      </c>
      <c r="E18" s="9" t="str">
        <v>Not Started</v>
      </c>
    </row>
    <row r="19" ht="62" customHeight="1">
      <c r="A19" s="9" t="str">
        <v>EX03</v>
      </c>
      <c r="B19" s="9" t="str">
        <v>Update a cell</v>
      </c>
      <c r="C19" s="9" t="str">
        <v>In a copy, change G0001 monthly contribution from 150 to 250. Save and reopen.</v>
      </c>
      <c r="D19" s="9" t="str">
        <v>Only G0001 changes. Value is numeric 250.</v>
      </c>
      <c r="E19" s="9" t="str">
        <v>Not Started</v>
      </c>
    </row>
    <row r="20" ht="62" customHeight="1">
      <c r="A20" s="9" t="str">
        <v>EX04</v>
      </c>
      <c r="B20" s="9" t="str">
        <v>Append a row</v>
      </c>
      <c r="C20" s="9" t="str">
        <v>Add G9001 for U001: EMERGENCY, target 10000, saved 1000, monthly 200.</v>
      </c>
      <c r="D20" s="9" t="str">
        <v>301 goals. U001 has 4 goals.</v>
      </c>
      <c r="E20" s="9" t="str">
        <v>Not Started</v>
      </c>
    </row>
    <row r="21" ht="62" customHeight="1">
      <c r="A21" s="9" t="str">
        <v>EX05</v>
      </c>
      <c r="B21" s="9" t="str">
        <v>Delete a row</v>
      </c>
      <c r="C21" s="9" t="str">
        <v>In a fresh copy, delete G0003 by ID.</v>
      </c>
      <c r="D21" s="9" t="str">
        <v>299 goals. U001 has 2 goals.</v>
      </c>
      <c r="E21" s="9" t="str">
        <v>Not Started</v>
      </c>
    </row>
    <row r="22" ht="62" customHeight="1">
      <c r="A22" s="9" t="str">
        <v>EX06</v>
      </c>
      <c r="B22" s="9" t="str">
        <v>Check totals</v>
      </c>
      <c r="C22" s="9" t="str">
        <v>Sum U001 transactions in TypeScript. Compare with User Summary.</v>
      </c>
      <c r="D22" s="9" t="str">
        <v>Income 5010. Expenses 2700. Net 2310.</v>
      </c>
      <c r="E22" s="9" t="str">
        <v>Not Started</v>
      </c>
    </row>
    <row r="23" ht="62" customHeight="1">
      <c r="A23" s="9" t="str">
        <v>EX07</v>
      </c>
      <c r="B23" s="9" t="str">
        <v>Drive UI goal creation</v>
      </c>
      <c r="C23" s="9" t="str">
        <v>Read G0001 from Excel and create it for seeded U001 using Playwright.</v>
      </c>
      <c r="D23" s="9" t="str">
        <v>UI fields match row. Avoid duplicate seeded goal.</v>
      </c>
      <c r="E23" s="9" t="str">
        <v>Not Started</v>
      </c>
    </row>
    <row r="24" ht="62" customHeight="1">
      <c r="A24" s="9" t="str">
        <v>EX08</v>
      </c>
      <c r="B24" s="9" t="str">
        <v>Validate API and SQL</v>
      </c>
      <c r="C24" s="9" t="str">
        <v>After creating a goal, fetch API record and SELECT by exact goal/user ID.</v>
      </c>
      <c r="D24" s="9" t="str">
        <v>Type, target, saved and contribution match.</v>
      </c>
      <c r="E24" s="9" t="str">
        <v>Not Started</v>
      </c>
    </row>
    <row r="25" ht="62" customHeight="1">
      <c r="A25" s="9" t="str">
        <v>EX09</v>
      </c>
      <c r="B25" s="9" t="str">
        <v>Validate export download</v>
      </c>
      <c r="C25" s="9" t="str">
        <v>Download a U001 goal report and read it with ExcelJS.</v>
      </c>
      <c r="D25" s="9" t="str">
        <v>3 baseline goals. Target total 155000.</v>
      </c>
      <c r="E25" s="9" t="str">
        <v>Not Started</v>
      </c>
    </row>
    <row r="26" ht="62" customHeight="1">
      <c r="A26" s="9" t="str">
        <v>EX10</v>
      </c>
      <c r="B26" s="9" t="str">
        <v>Test bulk import</v>
      </c>
      <c r="C26" s="9" t="str">
        <v>Upload input columns from Goals through the app.</v>
      </c>
      <c r="D26" s="9" t="str">
        <v>300 records accepted in a clean seeded environment.</v>
      </c>
      <c r="E26" s="9" t="str">
        <v>Not Started</v>
      </c>
    </row>
    <row r="27" ht="62" customHeight="1">
      <c r="A27" s="9" t="str">
        <v>EX11</v>
      </c>
      <c r="B27" s="9" t="str">
        <v>Reject invalid data</v>
      </c>
      <c r="C27" s="9" t="str">
        <v>Submit Invalid Goals one row at a time. Use the proposed rules above.</v>
      </c>
      <c r="D27" s="9" t="str">
        <v>Each row rejected with matching reason.</v>
      </c>
      <c r="E27" s="9" t="str">
        <v>Not Started</v>
      </c>
    </row>
    <row r="28" ht="62" customHeight="1">
      <c r="A28" s="9" t="str">
        <v>EX12</v>
      </c>
      <c r="B28" s="9" t="str">
        <v>Run parallel scenarios</v>
      </c>
      <c r="C28" s="9" t="str">
        <v>Give each worker one user and its own workbook copy and output path.</v>
      </c>
      <c r="D28" s="9" t="str">
        <v>No user data leakage or file-write collisions.</v>
      </c>
      <c r="E28" s="9" t="str">
        <v>Not Started</v>
      </c>
    </row>
  </sheetData>
  <dataValidations count="1">
    <dataValidation type="list" sqref="E17:E28">
      <formula1>"Not Started,In Progress,Completed"</formula1>
    </dataValidation>
  </dataValidations>
  <pageMargins left="0.7" right="0.7" top="0.75" bottom="0.75" header="0.3" footer="0.3"/>
  <tableParts count="1">
    <tablePart xmlns:r="http://schemas.openxmlformats.org/officeDocument/2006/relationships" r:id="Re6d68cc1d67c434d"/>
  </tableParts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5" hidden="0" customWidth="1"/>
    <col min="2" max="2" width="16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</cols>
  <sheetData>
    <row r="1" ht="30" customHeight="1">
      <c r="A1" s="3" t="str">
        <v>user_id</v>
      </c>
      <c r="B1" s="3" t="str">
        <v>goal_count</v>
      </c>
      <c r="C1" s="3" t="str">
        <v>target_total</v>
      </c>
      <c r="D1" s="3" t="str">
        <v>saved_total</v>
      </c>
      <c r="E1" s="3" t="str">
        <v>income_total</v>
      </c>
      <c r="F1" s="3" t="str">
        <v>expense_total</v>
      </c>
      <c r="G1" s="3" t="str">
        <v>net_cash_flow</v>
      </c>
    </row>
    <row r="2" ht="23" customHeight="1">
      <c r="A2" s="1" t="str">
        <v>U001</v>
      </c>
      <c r="B2" s="1" t="n">
        <f>COUNTIFS('Goals'!$B$2:$B$301,A2)</f>
        <v>3</v>
      </c>
      <c r="C2" s="4" t="n">
        <f>SUMIFS('Goals'!$E$2:$E$301,'Goals'!$B$2:$B$301,A2)</f>
        <v>155000</v>
      </c>
      <c r="D2" s="4" t="n">
        <f>SUMIFS('Goals'!$F$2:$F$301,'Goals'!$B$2:$B$301,A2)</f>
        <v>35300</v>
      </c>
      <c r="E2" s="4" t="n">
        <f>SUMIFS('Transactions'!$F$2:$F$401,'Transactions'!$B$2:$B$401,A2,'Transactions'!$D$2:$D$401,"INCOME")</f>
        <v>5010</v>
      </c>
      <c r="F2" s="4" t="n">
        <f>SUMIFS('Transactions'!$F$2:$F$401,'Transactions'!$B$2:$B$401,A2,'Transactions'!$D$2:$D$401,"EXPENSE")</f>
        <v>2700</v>
      </c>
      <c r="G2" s="4" t="n">
        <f>E2-F2</f>
        <v>2310</v>
      </c>
    </row>
    <row r="3" ht="23" customHeight="1">
      <c r="A3" s="1" t="str">
        <v>U002</v>
      </c>
      <c r="B3" s="1" t="n">
        <f>COUNTIFS('Goals'!$B$2:$B$301,A3)</f>
        <v>3</v>
      </c>
      <c r="C3" s="4" t="n">
        <f>SUMIFS('Goals'!$E$2:$E$301,'Goals'!$B$2:$B$301,A3)</f>
        <v>155000</v>
      </c>
      <c r="D3" s="4" t="n">
        <f>SUMIFS('Goals'!$F$2:$F$301,'Goals'!$B$2:$B$301,A3)</f>
        <v>35600</v>
      </c>
      <c r="E3" s="4" t="n">
        <f>SUMIFS('Transactions'!$F$2:$F$401,'Transactions'!$B$2:$B$401,A3,'Transactions'!$D$2:$D$401,"INCOME")</f>
        <v>5020</v>
      </c>
      <c r="F3" s="4" t="n">
        <f>SUMIFS('Transactions'!$F$2:$F$401,'Transactions'!$B$2:$B$401,A3,'Transactions'!$D$2:$D$401,"EXPENSE")</f>
        <v>2700</v>
      </c>
      <c r="G3" s="4" t="n">
        <f>E3-F3</f>
        <v>2320</v>
      </c>
    </row>
    <row r="4" ht="23" customHeight="1">
      <c r="A4" s="1" t="str">
        <v>U003</v>
      </c>
      <c r="B4" s="1" t="n">
        <f>COUNTIFS('Goals'!$B$2:$B$301,A4)</f>
        <v>3</v>
      </c>
      <c r="C4" s="4" t="n">
        <f>SUMIFS('Goals'!$E$2:$E$301,'Goals'!$B$2:$B$301,A4)</f>
        <v>155000</v>
      </c>
      <c r="D4" s="4" t="n">
        <f>SUMIFS('Goals'!$F$2:$F$301,'Goals'!$B$2:$B$301,A4)</f>
        <v>35900</v>
      </c>
      <c r="E4" s="4" t="n">
        <f>SUMIFS('Transactions'!$F$2:$F$401,'Transactions'!$B$2:$B$401,A4,'Transactions'!$D$2:$D$401,"INCOME")</f>
        <v>5030</v>
      </c>
      <c r="F4" s="4" t="n">
        <f>SUMIFS('Transactions'!$F$2:$F$401,'Transactions'!$B$2:$B$401,A4,'Transactions'!$D$2:$D$401,"EXPENSE")</f>
        <v>2700</v>
      </c>
      <c r="G4" s="4" t="n">
        <f>E4-F4</f>
        <v>2330</v>
      </c>
    </row>
    <row r="5" ht="23" customHeight="1">
      <c r="A5" s="1" t="str">
        <v>U004</v>
      </c>
      <c r="B5" s="1" t="n">
        <f>COUNTIFS('Goals'!$B$2:$B$301,A5)</f>
        <v>3</v>
      </c>
      <c r="C5" s="4" t="n">
        <f>SUMIFS('Goals'!$E$2:$E$301,'Goals'!$B$2:$B$301,A5)</f>
        <v>155000</v>
      </c>
      <c r="D5" s="4" t="n">
        <f>SUMIFS('Goals'!$F$2:$F$301,'Goals'!$B$2:$B$301,A5)</f>
        <v>36200</v>
      </c>
      <c r="E5" s="4" t="n">
        <f>SUMIFS('Transactions'!$F$2:$F$401,'Transactions'!$B$2:$B$401,A5,'Transactions'!$D$2:$D$401,"INCOME")</f>
        <v>5040</v>
      </c>
      <c r="F5" s="4" t="n">
        <f>SUMIFS('Transactions'!$F$2:$F$401,'Transactions'!$B$2:$B$401,A5,'Transactions'!$D$2:$D$401,"EXPENSE")</f>
        <v>2700</v>
      </c>
      <c r="G5" s="4" t="n">
        <f>E5-F5</f>
        <v>2340</v>
      </c>
    </row>
    <row r="6" ht="23" customHeight="1">
      <c r="A6" s="1" t="str">
        <v>U005</v>
      </c>
      <c r="B6" s="1" t="n">
        <f>COUNTIFS('Goals'!$B$2:$B$301,A6)</f>
        <v>3</v>
      </c>
      <c r="C6" s="4" t="n">
        <f>SUMIFS('Goals'!$E$2:$E$301,'Goals'!$B$2:$B$301,A6)</f>
        <v>155000</v>
      </c>
      <c r="D6" s="4" t="n">
        <f>SUMIFS('Goals'!$F$2:$F$301,'Goals'!$B$2:$B$301,A6)</f>
        <v>36500</v>
      </c>
      <c r="E6" s="4" t="n">
        <f>SUMIFS('Transactions'!$F$2:$F$401,'Transactions'!$B$2:$B$401,A6,'Transactions'!$D$2:$D$401,"INCOME")</f>
        <v>5050</v>
      </c>
      <c r="F6" s="4" t="n">
        <f>SUMIFS('Transactions'!$F$2:$F$401,'Transactions'!$B$2:$B$401,A6,'Transactions'!$D$2:$D$401,"EXPENSE")</f>
        <v>2700</v>
      </c>
      <c r="G6" s="4" t="n">
        <f>E6-F6</f>
        <v>2350</v>
      </c>
    </row>
    <row r="7" ht="23" customHeight="1">
      <c r="A7" s="1" t="str">
        <v>U006</v>
      </c>
      <c r="B7" s="1" t="n">
        <f>COUNTIFS('Goals'!$B$2:$B$301,A7)</f>
        <v>3</v>
      </c>
      <c r="C7" s="4" t="n">
        <f>SUMIFS('Goals'!$E$2:$E$301,'Goals'!$B$2:$B$301,A7)</f>
        <v>155000</v>
      </c>
      <c r="D7" s="4" t="n">
        <f>SUMIFS('Goals'!$F$2:$F$301,'Goals'!$B$2:$B$301,A7)</f>
        <v>36800</v>
      </c>
      <c r="E7" s="4" t="n">
        <f>SUMIFS('Transactions'!$F$2:$F$401,'Transactions'!$B$2:$B$401,A7,'Transactions'!$D$2:$D$401,"INCOME")</f>
        <v>5060</v>
      </c>
      <c r="F7" s="4" t="n">
        <f>SUMIFS('Transactions'!$F$2:$F$401,'Transactions'!$B$2:$B$401,A7,'Transactions'!$D$2:$D$401,"EXPENSE")</f>
        <v>2700</v>
      </c>
      <c r="G7" s="4" t="n">
        <f>E7-F7</f>
        <v>2360</v>
      </c>
    </row>
    <row r="8" ht="23" customHeight="1">
      <c r="A8" s="1" t="str">
        <v>U007</v>
      </c>
      <c r="B8" s="1" t="n">
        <f>COUNTIFS('Goals'!$B$2:$B$301,A8)</f>
        <v>3</v>
      </c>
      <c r="C8" s="4" t="n">
        <f>SUMIFS('Goals'!$E$2:$E$301,'Goals'!$B$2:$B$301,A8)</f>
        <v>155000</v>
      </c>
      <c r="D8" s="4" t="n">
        <f>SUMIFS('Goals'!$F$2:$F$301,'Goals'!$B$2:$B$301,A8)</f>
        <v>37100</v>
      </c>
      <c r="E8" s="4" t="n">
        <f>SUMIFS('Transactions'!$F$2:$F$401,'Transactions'!$B$2:$B$401,A8,'Transactions'!$D$2:$D$401,"INCOME")</f>
        <v>5070</v>
      </c>
      <c r="F8" s="4" t="n">
        <f>SUMIFS('Transactions'!$F$2:$F$401,'Transactions'!$B$2:$B$401,A8,'Transactions'!$D$2:$D$401,"EXPENSE")</f>
        <v>2700</v>
      </c>
      <c r="G8" s="4" t="n">
        <f>E8-F8</f>
        <v>2370</v>
      </c>
    </row>
    <row r="9" ht="23" customHeight="1">
      <c r="A9" s="1" t="str">
        <v>U008</v>
      </c>
      <c r="B9" s="1" t="n">
        <f>COUNTIFS('Goals'!$B$2:$B$301,A9)</f>
        <v>3</v>
      </c>
      <c r="C9" s="4" t="n">
        <f>SUMIFS('Goals'!$E$2:$E$301,'Goals'!$B$2:$B$301,A9)</f>
        <v>155000</v>
      </c>
      <c r="D9" s="4" t="n">
        <f>SUMIFS('Goals'!$F$2:$F$301,'Goals'!$B$2:$B$301,A9)</f>
        <v>37400</v>
      </c>
      <c r="E9" s="4" t="n">
        <f>SUMIFS('Transactions'!$F$2:$F$401,'Transactions'!$B$2:$B$401,A9,'Transactions'!$D$2:$D$401,"INCOME")</f>
        <v>5080</v>
      </c>
      <c r="F9" s="4" t="n">
        <f>SUMIFS('Transactions'!$F$2:$F$401,'Transactions'!$B$2:$B$401,A9,'Transactions'!$D$2:$D$401,"EXPENSE")</f>
        <v>2700</v>
      </c>
      <c r="G9" s="4" t="n">
        <f>E9-F9</f>
        <v>2380</v>
      </c>
    </row>
    <row r="10" ht="23" customHeight="1">
      <c r="A10" s="1" t="str">
        <v>U009</v>
      </c>
      <c r="B10" s="1" t="n">
        <f>COUNTIFS('Goals'!$B$2:$B$301,A10)</f>
        <v>3</v>
      </c>
      <c r="C10" s="4" t="n">
        <f>SUMIFS('Goals'!$E$2:$E$301,'Goals'!$B$2:$B$301,A10)</f>
        <v>155000</v>
      </c>
      <c r="D10" s="4" t="n">
        <f>SUMIFS('Goals'!$F$2:$F$301,'Goals'!$B$2:$B$301,A10)</f>
        <v>37700</v>
      </c>
      <c r="E10" s="4" t="n">
        <f>SUMIFS('Transactions'!$F$2:$F$401,'Transactions'!$B$2:$B$401,A10,'Transactions'!$D$2:$D$401,"INCOME")</f>
        <v>5090</v>
      </c>
      <c r="F10" s="4" t="n">
        <f>SUMIFS('Transactions'!$F$2:$F$401,'Transactions'!$B$2:$B$401,A10,'Transactions'!$D$2:$D$401,"EXPENSE")</f>
        <v>2700</v>
      </c>
      <c r="G10" s="4" t="n">
        <f>E10-F10</f>
        <v>2390</v>
      </c>
    </row>
    <row r="11" ht="23" customHeight="1">
      <c r="A11" s="1" t="str">
        <v>U010</v>
      </c>
      <c r="B11" s="1" t="n">
        <f>COUNTIFS('Goals'!$B$2:$B$301,A11)</f>
        <v>3</v>
      </c>
      <c r="C11" s="4" t="n">
        <f>SUMIFS('Goals'!$E$2:$E$301,'Goals'!$B$2:$B$301,A11)</f>
        <v>155000</v>
      </c>
      <c r="D11" s="4" t="n">
        <f>SUMIFS('Goals'!$F$2:$F$301,'Goals'!$B$2:$B$301,A11)</f>
        <v>38000</v>
      </c>
      <c r="E11" s="4" t="n">
        <f>SUMIFS('Transactions'!$F$2:$F$401,'Transactions'!$B$2:$B$401,A11,'Transactions'!$D$2:$D$401,"INCOME")</f>
        <v>5100</v>
      </c>
      <c r="F11" s="4" t="n">
        <f>SUMIFS('Transactions'!$F$2:$F$401,'Transactions'!$B$2:$B$401,A11,'Transactions'!$D$2:$D$401,"EXPENSE")</f>
        <v>2700</v>
      </c>
      <c r="G11" s="4" t="n">
        <f>E11-F11</f>
        <v>2400</v>
      </c>
    </row>
    <row r="12" ht="23" customHeight="1">
      <c r="A12" s="1" t="str">
        <v>U011</v>
      </c>
      <c r="B12" s="1" t="n">
        <f>COUNTIFS('Goals'!$B$2:$B$301,A12)</f>
        <v>3</v>
      </c>
      <c r="C12" s="4" t="n">
        <f>SUMIFS('Goals'!$E$2:$E$301,'Goals'!$B$2:$B$301,A12)</f>
        <v>155000</v>
      </c>
      <c r="D12" s="4" t="n">
        <f>SUMIFS('Goals'!$F$2:$F$301,'Goals'!$B$2:$B$301,A12)</f>
        <v>38300</v>
      </c>
      <c r="E12" s="4" t="n">
        <f>SUMIFS('Transactions'!$F$2:$F$401,'Transactions'!$B$2:$B$401,A12,'Transactions'!$D$2:$D$401,"INCOME")</f>
        <v>5110</v>
      </c>
      <c r="F12" s="4" t="n">
        <f>SUMIFS('Transactions'!$F$2:$F$401,'Transactions'!$B$2:$B$401,A12,'Transactions'!$D$2:$D$401,"EXPENSE")</f>
        <v>2700</v>
      </c>
      <c r="G12" s="4" t="n">
        <f>E12-F12</f>
        <v>2410</v>
      </c>
    </row>
    <row r="13" ht="23" customHeight="1">
      <c r="A13" s="1" t="str">
        <v>U012</v>
      </c>
      <c r="B13" s="1" t="n">
        <f>COUNTIFS('Goals'!$B$2:$B$301,A13)</f>
        <v>3</v>
      </c>
      <c r="C13" s="4" t="n">
        <f>SUMIFS('Goals'!$E$2:$E$301,'Goals'!$B$2:$B$301,A13)</f>
        <v>155000</v>
      </c>
      <c r="D13" s="4" t="n">
        <f>SUMIFS('Goals'!$F$2:$F$301,'Goals'!$B$2:$B$301,A13)</f>
        <v>38600</v>
      </c>
      <c r="E13" s="4" t="n">
        <f>SUMIFS('Transactions'!$F$2:$F$401,'Transactions'!$B$2:$B$401,A13,'Transactions'!$D$2:$D$401,"INCOME")</f>
        <v>5120</v>
      </c>
      <c r="F13" s="4" t="n">
        <f>SUMIFS('Transactions'!$F$2:$F$401,'Transactions'!$B$2:$B$401,A13,'Transactions'!$D$2:$D$401,"EXPENSE")</f>
        <v>2700</v>
      </c>
      <c r="G13" s="4" t="n">
        <f>E13-F13</f>
        <v>2420</v>
      </c>
    </row>
    <row r="14" ht="23" customHeight="1">
      <c r="A14" s="1" t="str">
        <v>U013</v>
      </c>
      <c r="B14" s="1" t="n">
        <f>COUNTIFS('Goals'!$B$2:$B$301,A14)</f>
        <v>3</v>
      </c>
      <c r="C14" s="4" t="n">
        <f>SUMIFS('Goals'!$E$2:$E$301,'Goals'!$B$2:$B$301,A14)</f>
        <v>155000</v>
      </c>
      <c r="D14" s="4" t="n">
        <f>SUMIFS('Goals'!$F$2:$F$301,'Goals'!$B$2:$B$301,A14)</f>
        <v>38900</v>
      </c>
      <c r="E14" s="4" t="n">
        <f>SUMIFS('Transactions'!$F$2:$F$401,'Transactions'!$B$2:$B$401,A14,'Transactions'!$D$2:$D$401,"INCOME")</f>
        <v>5130</v>
      </c>
      <c r="F14" s="4" t="n">
        <f>SUMIFS('Transactions'!$F$2:$F$401,'Transactions'!$B$2:$B$401,A14,'Transactions'!$D$2:$D$401,"EXPENSE")</f>
        <v>2700</v>
      </c>
      <c r="G14" s="4" t="n">
        <f>E14-F14</f>
        <v>2430</v>
      </c>
    </row>
    <row r="15" ht="23" customHeight="1">
      <c r="A15" s="1" t="str">
        <v>U014</v>
      </c>
      <c r="B15" s="1" t="n">
        <f>COUNTIFS('Goals'!$B$2:$B$301,A15)</f>
        <v>3</v>
      </c>
      <c r="C15" s="4" t="n">
        <f>SUMIFS('Goals'!$E$2:$E$301,'Goals'!$B$2:$B$301,A15)</f>
        <v>155000</v>
      </c>
      <c r="D15" s="4" t="n">
        <f>SUMIFS('Goals'!$F$2:$F$301,'Goals'!$B$2:$B$301,A15)</f>
        <v>39200</v>
      </c>
      <c r="E15" s="4" t="n">
        <f>SUMIFS('Transactions'!$F$2:$F$401,'Transactions'!$B$2:$B$401,A15,'Transactions'!$D$2:$D$401,"INCOME")</f>
        <v>5140</v>
      </c>
      <c r="F15" s="4" t="n">
        <f>SUMIFS('Transactions'!$F$2:$F$401,'Transactions'!$B$2:$B$401,A15,'Transactions'!$D$2:$D$401,"EXPENSE")</f>
        <v>2700</v>
      </c>
      <c r="G15" s="4" t="n">
        <f>E15-F15</f>
        <v>2440</v>
      </c>
    </row>
    <row r="16" ht="23" customHeight="1">
      <c r="A16" s="1" t="str">
        <v>U015</v>
      </c>
      <c r="B16" s="1" t="n">
        <f>COUNTIFS('Goals'!$B$2:$B$301,A16)</f>
        <v>3</v>
      </c>
      <c r="C16" s="4" t="n">
        <f>SUMIFS('Goals'!$E$2:$E$301,'Goals'!$B$2:$B$301,A16)</f>
        <v>155000</v>
      </c>
      <c r="D16" s="4" t="n">
        <f>SUMIFS('Goals'!$F$2:$F$301,'Goals'!$B$2:$B$301,A16)</f>
        <v>39500</v>
      </c>
      <c r="E16" s="4" t="n">
        <f>SUMIFS('Transactions'!$F$2:$F$401,'Transactions'!$B$2:$B$401,A16,'Transactions'!$D$2:$D$401,"INCOME")</f>
        <v>5150</v>
      </c>
      <c r="F16" s="4" t="n">
        <f>SUMIFS('Transactions'!$F$2:$F$401,'Transactions'!$B$2:$B$401,A16,'Transactions'!$D$2:$D$401,"EXPENSE")</f>
        <v>2700</v>
      </c>
      <c r="G16" s="4" t="n">
        <f>E16-F16</f>
        <v>2450</v>
      </c>
    </row>
    <row r="17" ht="23" customHeight="1">
      <c r="A17" s="1" t="str">
        <v>U016</v>
      </c>
      <c r="B17" s="1" t="n">
        <f>COUNTIFS('Goals'!$B$2:$B$301,A17)</f>
        <v>3</v>
      </c>
      <c r="C17" s="4" t="n">
        <f>SUMIFS('Goals'!$E$2:$E$301,'Goals'!$B$2:$B$301,A17)</f>
        <v>155000</v>
      </c>
      <c r="D17" s="4" t="n">
        <f>SUMIFS('Goals'!$F$2:$F$301,'Goals'!$B$2:$B$301,A17)</f>
        <v>39800</v>
      </c>
      <c r="E17" s="4" t="n">
        <f>SUMIFS('Transactions'!$F$2:$F$401,'Transactions'!$B$2:$B$401,A17,'Transactions'!$D$2:$D$401,"INCOME")</f>
        <v>5160</v>
      </c>
      <c r="F17" s="4" t="n">
        <f>SUMIFS('Transactions'!$F$2:$F$401,'Transactions'!$B$2:$B$401,A17,'Transactions'!$D$2:$D$401,"EXPENSE")</f>
        <v>2700</v>
      </c>
      <c r="G17" s="4" t="n">
        <f>E17-F17</f>
        <v>2460</v>
      </c>
    </row>
    <row r="18" ht="23" customHeight="1">
      <c r="A18" s="1" t="str">
        <v>U017</v>
      </c>
      <c r="B18" s="1" t="n">
        <f>COUNTIFS('Goals'!$B$2:$B$301,A18)</f>
        <v>3</v>
      </c>
      <c r="C18" s="4" t="n">
        <f>SUMIFS('Goals'!$E$2:$E$301,'Goals'!$B$2:$B$301,A18)</f>
        <v>155000</v>
      </c>
      <c r="D18" s="4" t="n">
        <f>SUMIFS('Goals'!$F$2:$F$301,'Goals'!$B$2:$B$301,A18)</f>
        <v>40100</v>
      </c>
      <c r="E18" s="4" t="n">
        <f>SUMIFS('Transactions'!$F$2:$F$401,'Transactions'!$B$2:$B$401,A18,'Transactions'!$D$2:$D$401,"INCOME")</f>
        <v>5170</v>
      </c>
      <c r="F18" s="4" t="n">
        <f>SUMIFS('Transactions'!$F$2:$F$401,'Transactions'!$B$2:$B$401,A18,'Transactions'!$D$2:$D$401,"EXPENSE")</f>
        <v>2700</v>
      </c>
      <c r="G18" s="4" t="n">
        <f>E18-F18</f>
        <v>2470</v>
      </c>
    </row>
    <row r="19" ht="23" customHeight="1">
      <c r="A19" s="1" t="str">
        <v>U018</v>
      </c>
      <c r="B19" s="1" t="n">
        <f>COUNTIFS('Goals'!$B$2:$B$301,A19)</f>
        <v>3</v>
      </c>
      <c r="C19" s="4" t="n">
        <f>SUMIFS('Goals'!$E$2:$E$301,'Goals'!$B$2:$B$301,A19)</f>
        <v>155000</v>
      </c>
      <c r="D19" s="4" t="n">
        <f>SUMIFS('Goals'!$F$2:$F$301,'Goals'!$B$2:$B$301,A19)</f>
        <v>40400</v>
      </c>
      <c r="E19" s="4" t="n">
        <f>SUMIFS('Transactions'!$F$2:$F$401,'Transactions'!$B$2:$B$401,A19,'Transactions'!$D$2:$D$401,"INCOME")</f>
        <v>5180</v>
      </c>
      <c r="F19" s="4" t="n">
        <f>SUMIFS('Transactions'!$F$2:$F$401,'Transactions'!$B$2:$B$401,A19,'Transactions'!$D$2:$D$401,"EXPENSE")</f>
        <v>2700</v>
      </c>
      <c r="G19" s="4" t="n">
        <f>E19-F19</f>
        <v>2480</v>
      </c>
    </row>
    <row r="20" ht="23" customHeight="1">
      <c r="A20" s="1" t="str">
        <v>U019</v>
      </c>
      <c r="B20" s="1" t="n">
        <f>COUNTIFS('Goals'!$B$2:$B$301,A20)</f>
        <v>3</v>
      </c>
      <c r="C20" s="4" t="n">
        <f>SUMIFS('Goals'!$E$2:$E$301,'Goals'!$B$2:$B$301,A20)</f>
        <v>155000</v>
      </c>
      <c r="D20" s="4" t="n">
        <f>SUMIFS('Goals'!$F$2:$F$301,'Goals'!$B$2:$B$301,A20)</f>
        <v>40700</v>
      </c>
      <c r="E20" s="4" t="n">
        <f>SUMIFS('Transactions'!$F$2:$F$401,'Transactions'!$B$2:$B$401,A20,'Transactions'!$D$2:$D$401,"INCOME")</f>
        <v>5190</v>
      </c>
      <c r="F20" s="4" t="n">
        <f>SUMIFS('Transactions'!$F$2:$F$401,'Transactions'!$B$2:$B$401,A20,'Transactions'!$D$2:$D$401,"EXPENSE")</f>
        <v>2700</v>
      </c>
      <c r="G20" s="4" t="n">
        <f>E20-F20</f>
        <v>2490</v>
      </c>
    </row>
    <row r="21" ht="23" customHeight="1">
      <c r="A21" s="1" t="str">
        <v>U020</v>
      </c>
      <c r="B21" s="1" t="n">
        <f>COUNTIFS('Goals'!$B$2:$B$301,A21)</f>
        <v>3</v>
      </c>
      <c r="C21" s="4" t="n">
        <f>SUMIFS('Goals'!$E$2:$E$301,'Goals'!$B$2:$B$301,A21)</f>
        <v>155000</v>
      </c>
      <c r="D21" s="4" t="n">
        <f>SUMIFS('Goals'!$F$2:$F$301,'Goals'!$B$2:$B$301,A21)</f>
        <v>41000</v>
      </c>
      <c r="E21" s="4" t="n">
        <f>SUMIFS('Transactions'!$F$2:$F$401,'Transactions'!$B$2:$B$401,A21,'Transactions'!$D$2:$D$401,"INCOME")</f>
        <v>5200</v>
      </c>
      <c r="F21" s="4" t="n">
        <f>SUMIFS('Transactions'!$F$2:$F$401,'Transactions'!$B$2:$B$401,A21,'Transactions'!$D$2:$D$401,"EXPENSE")</f>
        <v>2700</v>
      </c>
      <c r="G21" s="4" t="n">
        <f>E21-F21</f>
        <v>2500</v>
      </c>
    </row>
    <row r="22" ht="23" customHeight="1">
      <c r="A22" s="1" t="str">
        <v>U021</v>
      </c>
      <c r="B22" s="1" t="n">
        <f>COUNTIFS('Goals'!$B$2:$B$301,A22)</f>
        <v>3</v>
      </c>
      <c r="C22" s="4" t="n">
        <f>SUMIFS('Goals'!$E$2:$E$301,'Goals'!$B$2:$B$301,A22)</f>
        <v>155000</v>
      </c>
      <c r="D22" s="4" t="n">
        <f>SUMIFS('Goals'!$F$2:$F$301,'Goals'!$B$2:$B$301,A22)</f>
        <v>41300</v>
      </c>
      <c r="E22" s="4" t="n">
        <f>SUMIFS('Transactions'!$F$2:$F$401,'Transactions'!$B$2:$B$401,A22,'Transactions'!$D$2:$D$401,"INCOME")</f>
        <v>5210</v>
      </c>
      <c r="F22" s="4" t="n">
        <f>SUMIFS('Transactions'!$F$2:$F$401,'Transactions'!$B$2:$B$401,A22,'Transactions'!$D$2:$D$401,"EXPENSE")</f>
        <v>2700</v>
      </c>
      <c r="G22" s="4" t="n">
        <f>E22-F22</f>
        <v>2510</v>
      </c>
    </row>
    <row r="23" ht="23" customHeight="1">
      <c r="A23" s="1" t="str">
        <v>U022</v>
      </c>
      <c r="B23" s="1" t="n">
        <f>COUNTIFS('Goals'!$B$2:$B$301,A23)</f>
        <v>3</v>
      </c>
      <c r="C23" s="4" t="n">
        <f>SUMIFS('Goals'!$E$2:$E$301,'Goals'!$B$2:$B$301,A23)</f>
        <v>155000</v>
      </c>
      <c r="D23" s="4" t="n">
        <f>SUMIFS('Goals'!$F$2:$F$301,'Goals'!$B$2:$B$301,A23)</f>
        <v>41600</v>
      </c>
      <c r="E23" s="4" t="n">
        <f>SUMIFS('Transactions'!$F$2:$F$401,'Transactions'!$B$2:$B$401,A23,'Transactions'!$D$2:$D$401,"INCOME")</f>
        <v>5220</v>
      </c>
      <c r="F23" s="4" t="n">
        <f>SUMIFS('Transactions'!$F$2:$F$401,'Transactions'!$B$2:$B$401,A23,'Transactions'!$D$2:$D$401,"EXPENSE")</f>
        <v>2700</v>
      </c>
      <c r="G23" s="4" t="n">
        <f>E23-F23</f>
        <v>2520</v>
      </c>
    </row>
    <row r="24" ht="23" customHeight="1">
      <c r="A24" s="1" t="str">
        <v>U023</v>
      </c>
      <c r="B24" s="1" t="n">
        <f>COUNTIFS('Goals'!$B$2:$B$301,A24)</f>
        <v>3</v>
      </c>
      <c r="C24" s="4" t="n">
        <f>SUMIFS('Goals'!$E$2:$E$301,'Goals'!$B$2:$B$301,A24)</f>
        <v>155000</v>
      </c>
      <c r="D24" s="4" t="n">
        <f>SUMIFS('Goals'!$F$2:$F$301,'Goals'!$B$2:$B$301,A24)</f>
        <v>41900</v>
      </c>
      <c r="E24" s="4" t="n">
        <f>SUMIFS('Transactions'!$F$2:$F$401,'Transactions'!$B$2:$B$401,A24,'Transactions'!$D$2:$D$401,"INCOME")</f>
        <v>5230</v>
      </c>
      <c r="F24" s="4" t="n">
        <f>SUMIFS('Transactions'!$F$2:$F$401,'Transactions'!$B$2:$B$401,A24,'Transactions'!$D$2:$D$401,"EXPENSE")</f>
        <v>2700</v>
      </c>
      <c r="G24" s="4" t="n">
        <f>E24-F24</f>
        <v>2530</v>
      </c>
    </row>
    <row r="25" ht="23" customHeight="1">
      <c r="A25" s="1" t="str">
        <v>U024</v>
      </c>
      <c r="B25" s="1" t="n">
        <f>COUNTIFS('Goals'!$B$2:$B$301,A25)</f>
        <v>3</v>
      </c>
      <c r="C25" s="4" t="n">
        <f>SUMIFS('Goals'!$E$2:$E$301,'Goals'!$B$2:$B$301,A25)</f>
        <v>155000</v>
      </c>
      <c r="D25" s="4" t="n">
        <f>SUMIFS('Goals'!$F$2:$F$301,'Goals'!$B$2:$B$301,A25)</f>
        <v>42200</v>
      </c>
      <c r="E25" s="4" t="n">
        <f>SUMIFS('Transactions'!$F$2:$F$401,'Transactions'!$B$2:$B$401,A25,'Transactions'!$D$2:$D$401,"INCOME")</f>
        <v>5240</v>
      </c>
      <c r="F25" s="4" t="n">
        <f>SUMIFS('Transactions'!$F$2:$F$401,'Transactions'!$B$2:$B$401,A25,'Transactions'!$D$2:$D$401,"EXPENSE")</f>
        <v>2700</v>
      </c>
      <c r="G25" s="4" t="n">
        <f>E25-F25</f>
        <v>2540</v>
      </c>
    </row>
    <row r="26" ht="23" customHeight="1">
      <c r="A26" s="1" t="str">
        <v>U025</v>
      </c>
      <c r="B26" s="1" t="n">
        <f>COUNTIFS('Goals'!$B$2:$B$301,A26)</f>
        <v>3</v>
      </c>
      <c r="C26" s="4" t="n">
        <f>SUMIFS('Goals'!$E$2:$E$301,'Goals'!$B$2:$B$301,A26)</f>
        <v>155000</v>
      </c>
      <c r="D26" s="4" t="n">
        <f>SUMIFS('Goals'!$F$2:$F$301,'Goals'!$B$2:$B$301,A26)</f>
        <v>42500</v>
      </c>
      <c r="E26" s="4" t="n">
        <f>SUMIFS('Transactions'!$F$2:$F$401,'Transactions'!$B$2:$B$401,A26,'Transactions'!$D$2:$D$401,"INCOME")</f>
        <v>5250</v>
      </c>
      <c r="F26" s="4" t="n">
        <f>SUMIFS('Transactions'!$F$2:$F$401,'Transactions'!$B$2:$B$401,A26,'Transactions'!$D$2:$D$401,"EXPENSE")</f>
        <v>2700</v>
      </c>
      <c r="G26" s="4" t="n">
        <f>E26-F26</f>
        <v>2550</v>
      </c>
    </row>
    <row r="27" ht="23" customHeight="1">
      <c r="A27" s="1" t="str">
        <v>U026</v>
      </c>
      <c r="B27" s="1" t="n">
        <f>COUNTIFS('Goals'!$B$2:$B$301,A27)</f>
        <v>3</v>
      </c>
      <c r="C27" s="4" t="n">
        <f>SUMIFS('Goals'!$E$2:$E$301,'Goals'!$B$2:$B$301,A27)</f>
        <v>155000</v>
      </c>
      <c r="D27" s="4" t="n">
        <f>SUMIFS('Goals'!$F$2:$F$301,'Goals'!$B$2:$B$301,A27)</f>
        <v>42800</v>
      </c>
      <c r="E27" s="4" t="n">
        <f>SUMIFS('Transactions'!$F$2:$F$401,'Transactions'!$B$2:$B$401,A27,'Transactions'!$D$2:$D$401,"INCOME")</f>
        <v>5260</v>
      </c>
      <c r="F27" s="4" t="n">
        <f>SUMIFS('Transactions'!$F$2:$F$401,'Transactions'!$B$2:$B$401,A27,'Transactions'!$D$2:$D$401,"EXPENSE")</f>
        <v>2700</v>
      </c>
      <c r="G27" s="4" t="n">
        <f>E27-F27</f>
        <v>2560</v>
      </c>
    </row>
    <row r="28" ht="23" customHeight="1">
      <c r="A28" s="1" t="str">
        <v>U027</v>
      </c>
      <c r="B28" s="1" t="n">
        <f>COUNTIFS('Goals'!$B$2:$B$301,A28)</f>
        <v>3</v>
      </c>
      <c r="C28" s="4" t="n">
        <f>SUMIFS('Goals'!$E$2:$E$301,'Goals'!$B$2:$B$301,A28)</f>
        <v>155000</v>
      </c>
      <c r="D28" s="4" t="n">
        <f>SUMIFS('Goals'!$F$2:$F$301,'Goals'!$B$2:$B$301,A28)</f>
        <v>43100</v>
      </c>
      <c r="E28" s="4" t="n">
        <f>SUMIFS('Transactions'!$F$2:$F$401,'Transactions'!$B$2:$B$401,A28,'Transactions'!$D$2:$D$401,"INCOME")</f>
        <v>5270</v>
      </c>
      <c r="F28" s="4" t="n">
        <f>SUMIFS('Transactions'!$F$2:$F$401,'Transactions'!$B$2:$B$401,A28,'Transactions'!$D$2:$D$401,"EXPENSE")</f>
        <v>2700</v>
      </c>
      <c r="G28" s="4" t="n">
        <f>E28-F28</f>
        <v>2570</v>
      </c>
    </row>
    <row r="29" ht="23" customHeight="1">
      <c r="A29" s="1" t="str">
        <v>U028</v>
      </c>
      <c r="B29" s="1" t="n">
        <f>COUNTIFS('Goals'!$B$2:$B$301,A29)</f>
        <v>3</v>
      </c>
      <c r="C29" s="4" t="n">
        <f>SUMIFS('Goals'!$E$2:$E$301,'Goals'!$B$2:$B$301,A29)</f>
        <v>155000</v>
      </c>
      <c r="D29" s="4" t="n">
        <f>SUMIFS('Goals'!$F$2:$F$301,'Goals'!$B$2:$B$301,A29)</f>
        <v>43400</v>
      </c>
      <c r="E29" s="4" t="n">
        <f>SUMIFS('Transactions'!$F$2:$F$401,'Transactions'!$B$2:$B$401,A29,'Transactions'!$D$2:$D$401,"INCOME")</f>
        <v>5280</v>
      </c>
      <c r="F29" s="4" t="n">
        <f>SUMIFS('Transactions'!$F$2:$F$401,'Transactions'!$B$2:$B$401,A29,'Transactions'!$D$2:$D$401,"EXPENSE")</f>
        <v>2700</v>
      </c>
      <c r="G29" s="4" t="n">
        <f>E29-F29</f>
        <v>2580</v>
      </c>
    </row>
    <row r="30" ht="23" customHeight="1">
      <c r="A30" s="1" t="str">
        <v>U029</v>
      </c>
      <c r="B30" s="1" t="n">
        <f>COUNTIFS('Goals'!$B$2:$B$301,A30)</f>
        <v>3</v>
      </c>
      <c r="C30" s="4" t="n">
        <f>SUMIFS('Goals'!$E$2:$E$301,'Goals'!$B$2:$B$301,A30)</f>
        <v>155000</v>
      </c>
      <c r="D30" s="4" t="n">
        <f>SUMIFS('Goals'!$F$2:$F$301,'Goals'!$B$2:$B$301,A30)</f>
        <v>43700</v>
      </c>
      <c r="E30" s="4" t="n">
        <f>SUMIFS('Transactions'!$F$2:$F$401,'Transactions'!$B$2:$B$401,A30,'Transactions'!$D$2:$D$401,"INCOME")</f>
        <v>5290</v>
      </c>
      <c r="F30" s="4" t="n">
        <f>SUMIFS('Transactions'!$F$2:$F$401,'Transactions'!$B$2:$B$401,A30,'Transactions'!$D$2:$D$401,"EXPENSE")</f>
        <v>2700</v>
      </c>
      <c r="G30" s="4" t="n">
        <f>E30-F30</f>
        <v>2590</v>
      </c>
    </row>
    <row r="31" ht="23" customHeight="1">
      <c r="A31" s="1" t="str">
        <v>U030</v>
      </c>
      <c r="B31" s="1" t="n">
        <f>COUNTIFS('Goals'!$B$2:$B$301,A31)</f>
        <v>3</v>
      </c>
      <c r="C31" s="4" t="n">
        <f>SUMIFS('Goals'!$E$2:$E$301,'Goals'!$B$2:$B$301,A31)</f>
        <v>155000</v>
      </c>
      <c r="D31" s="4" t="n">
        <f>SUMIFS('Goals'!$F$2:$F$301,'Goals'!$B$2:$B$301,A31)</f>
        <v>44000</v>
      </c>
      <c r="E31" s="4" t="n">
        <f>SUMIFS('Transactions'!$F$2:$F$401,'Transactions'!$B$2:$B$401,A31,'Transactions'!$D$2:$D$401,"INCOME")</f>
        <v>5300</v>
      </c>
      <c r="F31" s="4" t="n">
        <f>SUMIFS('Transactions'!$F$2:$F$401,'Transactions'!$B$2:$B$401,A31,'Transactions'!$D$2:$D$401,"EXPENSE")</f>
        <v>2700</v>
      </c>
      <c r="G31" s="4" t="n">
        <f>E31-F31</f>
        <v>2600</v>
      </c>
    </row>
    <row r="32" ht="23" customHeight="1">
      <c r="A32" s="1" t="str">
        <v>U031</v>
      </c>
      <c r="B32" s="1" t="n">
        <f>COUNTIFS('Goals'!$B$2:$B$301,A32)</f>
        <v>3</v>
      </c>
      <c r="C32" s="4" t="n">
        <f>SUMIFS('Goals'!$E$2:$E$301,'Goals'!$B$2:$B$301,A32)</f>
        <v>155000</v>
      </c>
      <c r="D32" s="4" t="n">
        <f>SUMIFS('Goals'!$F$2:$F$301,'Goals'!$B$2:$B$301,A32)</f>
        <v>44300</v>
      </c>
      <c r="E32" s="4" t="n">
        <f>SUMIFS('Transactions'!$F$2:$F$401,'Transactions'!$B$2:$B$401,A32,'Transactions'!$D$2:$D$401,"INCOME")</f>
        <v>5310</v>
      </c>
      <c r="F32" s="4" t="n">
        <f>SUMIFS('Transactions'!$F$2:$F$401,'Transactions'!$B$2:$B$401,A32,'Transactions'!$D$2:$D$401,"EXPENSE")</f>
        <v>2700</v>
      </c>
      <c r="G32" s="4" t="n">
        <f>E32-F32</f>
        <v>2610</v>
      </c>
    </row>
    <row r="33" ht="23" customHeight="1">
      <c r="A33" s="1" t="str">
        <v>U032</v>
      </c>
      <c r="B33" s="1" t="n">
        <f>COUNTIFS('Goals'!$B$2:$B$301,A33)</f>
        <v>3</v>
      </c>
      <c r="C33" s="4" t="n">
        <f>SUMIFS('Goals'!$E$2:$E$301,'Goals'!$B$2:$B$301,A33)</f>
        <v>155000</v>
      </c>
      <c r="D33" s="4" t="n">
        <f>SUMIFS('Goals'!$F$2:$F$301,'Goals'!$B$2:$B$301,A33)</f>
        <v>44600</v>
      </c>
      <c r="E33" s="4" t="n">
        <f>SUMIFS('Transactions'!$F$2:$F$401,'Transactions'!$B$2:$B$401,A33,'Transactions'!$D$2:$D$401,"INCOME")</f>
        <v>5320</v>
      </c>
      <c r="F33" s="4" t="n">
        <f>SUMIFS('Transactions'!$F$2:$F$401,'Transactions'!$B$2:$B$401,A33,'Transactions'!$D$2:$D$401,"EXPENSE")</f>
        <v>2700</v>
      </c>
      <c r="G33" s="4" t="n">
        <f>E33-F33</f>
        <v>2620</v>
      </c>
    </row>
    <row r="34" ht="23" customHeight="1">
      <c r="A34" s="1" t="str">
        <v>U033</v>
      </c>
      <c r="B34" s="1" t="n">
        <f>COUNTIFS('Goals'!$B$2:$B$301,A34)</f>
        <v>3</v>
      </c>
      <c r="C34" s="4" t="n">
        <f>SUMIFS('Goals'!$E$2:$E$301,'Goals'!$B$2:$B$301,A34)</f>
        <v>155000</v>
      </c>
      <c r="D34" s="4" t="n">
        <f>SUMIFS('Goals'!$F$2:$F$301,'Goals'!$B$2:$B$301,A34)</f>
        <v>44900</v>
      </c>
      <c r="E34" s="4" t="n">
        <f>SUMIFS('Transactions'!$F$2:$F$401,'Transactions'!$B$2:$B$401,A34,'Transactions'!$D$2:$D$401,"INCOME")</f>
        <v>5330</v>
      </c>
      <c r="F34" s="4" t="n">
        <f>SUMIFS('Transactions'!$F$2:$F$401,'Transactions'!$B$2:$B$401,A34,'Transactions'!$D$2:$D$401,"EXPENSE")</f>
        <v>2700</v>
      </c>
      <c r="G34" s="4" t="n">
        <f>E34-F34</f>
        <v>2630</v>
      </c>
    </row>
    <row r="35" ht="23" customHeight="1">
      <c r="A35" s="1" t="str">
        <v>U034</v>
      </c>
      <c r="B35" s="1" t="n">
        <f>COUNTIFS('Goals'!$B$2:$B$301,A35)</f>
        <v>3</v>
      </c>
      <c r="C35" s="4" t="n">
        <f>SUMIFS('Goals'!$E$2:$E$301,'Goals'!$B$2:$B$301,A35)</f>
        <v>155000</v>
      </c>
      <c r="D35" s="4" t="n">
        <f>SUMIFS('Goals'!$F$2:$F$301,'Goals'!$B$2:$B$301,A35)</f>
        <v>45200</v>
      </c>
      <c r="E35" s="4" t="n">
        <f>SUMIFS('Transactions'!$F$2:$F$401,'Transactions'!$B$2:$B$401,A35,'Transactions'!$D$2:$D$401,"INCOME")</f>
        <v>5340</v>
      </c>
      <c r="F35" s="4" t="n">
        <f>SUMIFS('Transactions'!$F$2:$F$401,'Transactions'!$B$2:$B$401,A35,'Transactions'!$D$2:$D$401,"EXPENSE")</f>
        <v>2700</v>
      </c>
      <c r="G35" s="4" t="n">
        <f>E35-F35</f>
        <v>2640</v>
      </c>
    </row>
    <row r="36" ht="23" customHeight="1">
      <c r="A36" s="1" t="str">
        <v>U035</v>
      </c>
      <c r="B36" s="1" t="n">
        <f>COUNTIFS('Goals'!$B$2:$B$301,A36)</f>
        <v>3</v>
      </c>
      <c r="C36" s="4" t="n">
        <f>SUMIFS('Goals'!$E$2:$E$301,'Goals'!$B$2:$B$301,A36)</f>
        <v>155000</v>
      </c>
      <c r="D36" s="4" t="n">
        <f>SUMIFS('Goals'!$F$2:$F$301,'Goals'!$B$2:$B$301,A36)</f>
        <v>45500</v>
      </c>
      <c r="E36" s="4" t="n">
        <f>SUMIFS('Transactions'!$F$2:$F$401,'Transactions'!$B$2:$B$401,A36,'Transactions'!$D$2:$D$401,"INCOME")</f>
        <v>5350</v>
      </c>
      <c r="F36" s="4" t="n">
        <f>SUMIFS('Transactions'!$F$2:$F$401,'Transactions'!$B$2:$B$401,A36,'Transactions'!$D$2:$D$401,"EXPENSE")</f>
        <v>2700</v>
      </c>
      <c r="G36" s="4" t="n">
        <f>E36-F36</f>
        <v>2650</v>
      </c>
    </row>
    <row r="37" ht="23" customHeight="1">
      <c r="A37" s="1" t="str">
        <v>U036</v>
      </c>
      <c r="B37" s="1" t="n">
        <f>COUNTIFS('Goals'!$B$2:$B$301,A37)</f>
        <v>3</v>
      </c>
      <c r="C37" s="4" t="n">
        <f>SUMIFS('Goals'!$E$2:$E$301,'Goals'!$B$2:$B$301,A37)</f>
        <v>155000</v>
      </c>
      <c r="D37" s="4" t="n">
        <f>SUMIFS('Goals'!$F$2:$F$301,'Goals'!$B$2:$B$301,A37)</f>
        <v>45800</v>
      </c>
      <c r="E37" s="4" t="n">
        <f>SUMIFS('Transactions'!$F$2:$F$401,'Transactions'!$B$2:$B$401,A37,'Transactions'!$D$2:$D$401,"INCOME")</f>
        <v>5360</v>
      </c>
      <c r="F37" s="4" t="n">
        <f>SUMIFS('Transactions'!$F$2:$F$401,'Transactions'!$B$2:$B$401,A37,'Transactions'!$D$2:$D$401,"EXPENSE")</f>
        <v>2700</v>
      </c>
      <c r="G37" s="4" t="n">
        <f>E37-F37</f>
        <v>2660</v>
      </c>
    </row>
    <row r="38" ht="23" customHeight="1">
      <c r="A38" s="1" t="str">
        <v>U037</v>
      </c>
      <c r="B38" s="1" t="n">
        <f>COUNTIFS('Goals'!$B$2:$B$301,A38)</f>
        <v>3</v>
      </c>
      <c r="C38" s="4" t="n">
        <f>SUMIFS('Goals'!$E$2:$E$301,'Goals'!$B$2:$B$301,A38)</f>
        <v>155000</v>
      </c>
      <c r="D38" s="4" t="n">
        <f>SUMIFS('Goals'!$F$2:$F$301,'Goals'!$B$2:$B$301,A38)</f>
        <v>46100</v>
      </c>
      <c r="E38" s="4" t="n">
        <f>SUMIFS('Transactions'!$F$2:$F$401,'Transactions'!$B$2:$B$401,A38,'Transactions'!$D$2:$D$401,"INCOME")</f>
        <v>5370</v>
      </c>
      <c r="F38" s="4" t="n">
        <f>SUMIFS('Transactions'!$F$2:$F$401,'Transactions'!$B$2:$B$401,A38,'Transactions'!$D$2:$D$401,"EXPENSE")</f>
        <v>2700</v>
      </c>
      <c r="G38" s="4" t="n">
        <f>E38-F38</f>
        <v>2670</v>
      </c>
    </row>
    <row r="39" ht="23" customHeight="1">
      <c r="A39" s="1" t="str">
        <v>U038</v>
      </c>
      <c r="B39" s="1" t="n">
        <f>COUNTIFS('Goals'!$B$2:$B$301,A39)</f>
        <v>3</v>
      </c>
      <c r="C39" s="4" t="n">
        <f>SUMIFS('Goals'!$E$2:$E$301,'Goals'!$B$2:$B$301,A39)</f>
        <v>155000</v>
      </c>
      <c r="D39" s="4" t="n">
        <f>SUMIFS('Goals'!$F$2:$F$301,'Goals'!$B$2:$B$301,A39)</f>
        <v>46400</v>
      </c>
      <c r="E39" s="4" t="n">
        <f>SUMIFS('Transactions'!$F$2:$F$401,'Transactions'!$B$2:$B$401,A39,'Transactions'!$D$2:$D$401,"INCOME")</f>
        <v>5380</v>
      </c>
      <c r="F39" s="4" t="n">
        <f>SUMIFS('Transactions'!$F$2:$F$401,'Transactions'!$B$2:$B$401,A39,'Transactions'!$D$2:$D$401,"EXPENSE")</f>
        <v>2700</v>
      </c>
      <c r="G39" s="4" t="n">
        <f>E39-F39</f>
        <v>2680</v>
      </c>
    </row>
    <row r="40" ht="23" customHeight="1">
      <c r="A40" s="1" t="str">
        <v>U039</v>
      </c>
      <c r="B40" s="1" t="n">
        <f>COUNTIFS('Goals'!$B$2:$B$301,A40)</f>
        <v>3</v>
      </c>
      <c r="C40" s="4" t="n">
        <f>SUMIFS('Goals'!$E$2:$E$301,'Goals'!$B$2:$B$301,A40)</f>
        <v>155000</v>
      </c>
      <c r="D40" s="4" t="n">
        <f>SUMIFS('Goals'!$F$2:$F$301,'Goals'!$B$2:$B$301,A40)</f>
        <v>46700</v>
      </c>
      <c r="E40" s="4" t="n">
        <f>SUMIFS('Transactions'!$F$2:$F$401,'Transactions'!$B$2:$B$401,A40,'Transactions'!$D$2:$D$401,"INCOME")</f>
        <v>5390</v>
      </c>
      <c r="F40" s="4" t="n">
        <f>SUMIFS('Transactions'!$F$2:$F$401,'Transactions'!$B$2:$B$401,A40,'Transactions'!$D$2:$D$401,"EXPENSE")</f>
        <v>2700</v>
      </c>
      <c r="G40" s="4" t="n">
        <f>E40-F40</f>
        <v>2690</v>
      </c>
    </row>
    <row r="41" ht="23" customHeight="1">
      <c r="A41" s="1" t="str">
        <v>U040</v>
      </c>
      <c r="B41" s="1" t="n">
        <f>COUNTIFS('Goals'!$B$2:$B$301,A41)</f>
        <v>3</v>
      </c>
      <c r="C41" s="4" t="n">
        <f>SUMIFS('Goals'!$E$2:$E$301,'Goals'!$B$2:$B$301,A41)</f>
        <v>155000</v>
      </c>
      <c r="D41" s="4" t="n">
        <f>SUMIFS('Goals'!$F$2:$F$301,'Goals'!$B$2:$B$301,A41)</f>
        <v>47000</v>
      </c>
      <c r="E41" s="4" t="n">
        <f>SUMIFS('Transactions'!$F$2:$F$401,'Transactions'!$B$2:$B$401,A41,'Transactions'!$D$2:$D$401,"INCOME")</f>
        <v>5400</v>
      </c>
      <c r="F41" s="4" t="n">
        <f>SUMIFS('Transactions'!$F$2:$F$401,'Transactions'!$B$2:$B$401,A41,'Transactions'!$D$2:$D$401,"EXPENSE")</f>
        <v>2700</v>
      </c>
      <c r="G41" s="4" t="n">
        <f>E41-F41</f>
        <v>2700</v>
      </c>
    </row>
    <row r="42" ht="23" customHeight="1">
      <c r="A42" s="1" t="str">
        <v>U041</v>
      </c>
      <c r="B42" s="1" t="n">
        <f>COUNTIFS('Goals'!$B$2:$B$301,A42)</f>
        <v>3</v>
      </c>
      <c r="C42" s="4" t="n">
        <f>SUMIFS('Goals'!$E$2:$E$301,'Goals'!$B$2:$B$301,A42)</f>
        <v>155000</v>
      </c>
      <c r="D42" s="4" t="n">
        <f>SUMIFS('Goals'!$F$2:$F$301,'Goals'!$B$2:$B$301,A42)</f>
        <v>47300</v>
      </c>
      <c r="E42" s="4" t="n">
        <f>SUMIFS('Transactions'!$F$2:$F$401,'Transactions'!$B$2:$B$401,A42,'Transactions'!$D$2:$D$401,"INCOME")</f>
        <v>5410</v>
      </c>
      <c r="F42" s="4" t="n">
        <f>SUMIFS('Transactions'!$F$2:$F$401,'Transactions'!$B$2:$B$401,A42,'Transactions'!$D$2:$D$401,"EXPENSE")</f>
        <v>2700</v>
      </c>
      <c r="G42" s="4" t="n">
        <f>E42-F42</f>
        <v>2710</v>
      </c>
    </row>
    <row r="43" ht="23" customHeight="1">
      <c r="A43" s="1" t="str">
        <v>U042</v>
      </c>
      <c r="B43" s="1" t="n">
        <f>COUNTIFS('Goals'!$B$2:$B$301,A43)</f>
        <v>3</v>
      </c>
      <c r="C43" s="4" t="n">
        <f>SUMIFS('Goals'!$E$2:$E$301,'Goals'!$B$2:$B$301,A43)</f>
        <v>155000</v>
      </c>
      <c r="D43" s="4" t="n">
        <f>SUMIFS('Goals'!$F$2:$F$301,'Goals'!$B$2:$B$301,A43)</f>
        <v>47600</v>
      </c>
      <c r="E43" s="4" t="n">
        <f>SUMIFS('Transactions'!$F$2:$F$401,'Transactions'!$B$2:$B$401,A43,'Transactions'!$D$2:$D$401,"INCOME")</f>
        <v>5420</v>
      </c>
      <c r="F43" s="4" t="n">
        <f>SUMIFS('Transactions'!$F$2:$F$401,'Transactions'!$B$2:$B$401,A43,'Transactions'!$D$2:$D$401,"EXPENSE")</f>
        <v>2700</v>
      </c>
      <c r="G43" s="4" t="n">
        <f>E43-F43</f>
        <v>2720</v>
      </c>
    </row>
    <row r="44" ht="23" customHeight="1">
      <c r="A44" s="1" t="str">
        <v>U043</v>
      </c>
      <c r="B44" s="1" t="n">
        <f>COUNTIFS('Goals'!$B$2:$B$301,A44)</f>
        <v>3</v>
      </c>
      <c r="C44" s="4" t="n">
        <f>SUMIFS('Goals'!$E$2:$E$301,'Goals'!$B$2:$B$301,A44)</f>
        <v>155000</v>
      </c>
      <c r="D44" s="4" t="n">
        <f>SUMIFS('Goals'!$F$2:$F$301,'Goals'!$B$2:$B$301,A44)</f>
        <v>47900</v>
      </c>
      <c r="E44" s="4" t="n">
        <f>SUMIFS('Transactions'!$F$2:$F$401,'Transactions'!$B$2:$B$401,A44,'Transactions'!$D$2:$D$401,"INCOME")</f>
        <v>5430</v>
      </c>
      <c r="F44" s="4" t="n">
        <f>SUMIFS('Transactions'!$F$2:$F$401,'Transactions'!$B$2:$B$401,A44,'Transactions'!$D$2:$D$401,"EXPENSE")</f>
        <v>2700</v>
      </c>
      <c r="G44" s="4" t="n">
        <f>E44-F44</f>
        <v>2730</v>
      </c>
    </row>
    <row r="45" ht="23" customHeight="1">
      <c r="A45" s="1" t="str">
        <v>U044</v>
      </c>
      <c r="B45" s="1" t="n">
        <f>COUNTIFS('Goals'!$B$2:$B$301,A45)</f>
        <v>3</v>
      </c>
      <c r="C45" s="4" t="n">
        <f>SUMIFS('Goals'!$E$2:$E$301,'Goals'!$B$2:$B$301,A45)</f>
        <v>155000</v>
      </c>
      <c r="D45" s="4" t="n">
        <f>SUMIFS('Goals'!$F$2:$F$301,'Goals'!$B$2:$B$301,A45)</f>
        <v>48200</v>
      </c>
      <c r="E45" s="4" t="n">
        <f>SUMIFS('Transactions'!$F$2:$F$401,'Transactions'!$B$2:$B$401,A45,'Transactions'!$D$2:$D$401,"INCOME")</f>
        <v>5440</v>
      </c>
      <c r="F45" s="4" t="n">
        <f>SUMIFS('Transactions'!$F$2:$F$401,'Transactions'!$B$2:$B$401,A45,'Transactions'!$D$2:$D$401,"EXPENSE")</f>
        <v>2700</v>
      </c>
      <c r="G45" s="4" t="n">
        <f>E45-F45</f>
        <v>2740</v>
      </c>
    </row>
    <row r="46" ht="23" customHeight="1">
      <c r="A46" s="1" t="str">
        <v>U045</v>
      </c>
      <c r="B46" s="1" t="n">
        <f>COUNTIFS('Goals'!$B$2:$B$301,A46)</f>
        <v>3</v>
      </c>
      <c r="C46" s="4" t="n">
        <f>SUMIFS('Goals'!$E$2:$E$301,'Goals'!$B$2:$B$301,A46)</f>
        <v>155000</v>
      </c>
      <c r="D46" s="4" t="n">
        <f>SUMIFS('Goals'!$F$2:$F$301,'Goals'!$B$2:$B$301,A46)</f>
        <v>48500</v>
      </c>
      <c r="E46" s="4" t="n">
        <f>SUMIFS('Transactions'!$F$2:$F$401,'Transactions'!$B$2:$B$401,A46,'Transactions'!$D$2:$D$401,"INCOME")</f>
        <v>5450</v>
      </c>
      <c r="F46" s="4" t="n">
        <f>SUMIFS('Transactions'!$F$2:$F$401,'Transactions'!$B$2:$B$401,A46,'Transactions'!$D$2:$D$401,"EXPENSE")</f>
        <v>2700</v>
      </c>
      <c r="G46" s="4" t="n">
        <f>E46-F46</f>
        <v>2750</v>
      </c>
    </row>
    <row r="47" ht="23" customHeight="1">
      <c r="A47" s="1" t="str">
        <v>U046</v>
      </c>
      <c r="B47" s="1" t="n">
        <f>COUNTIFS('Goals'!$B$2:$B$301,A47)</f>
        <v>3</v>
      </c>
      <c r="C47" s="4" t="n">
        <f>SUMIFS('Goals'!$E$2:$E$301,'Goals'!$B$2:$B$301,A47)</f>
        <v>155000</v>
      </c>
      <c r="D47" s="4" t="n">
        <f>SUMIFS('Goals'!$F$2:$F$301,'Goals'!$B$2:$B$301,A47)</f>
        <v>48800</v>
      </c>
      <c r="E47" s="4" t="n">
        <f>SUMIFS('Transactions'!$F$2:$F$401,'Transactions'!$B$2:$B$401,A47,'Transactions'!$D$2:$D$401,"INCOME")</f>
        <v>5460</v>
      </c>
      <c r="F47" s="4" t="n">
        <f>SUMIFS('Transactions'!$F$2:$F$401,'Transactions'!$B$2:$B$401,A47,'Transactions'!$D$2:$D$401,"EXPENSE")</f>
        <v>2700</v>
      </c>
      <c r="G47" s="4" t="n">
        <f>E47-F47</f>
        <v>2760</v>
      </c>
    </row>
    <row r="48" ht="23" customHeight="1">
      <c r="A48" s="1" t="str">
        <v>U047</v>
      </c>
      <c r="B48" s="1" t="n">
        <f>COUNTIFS('Goals'!$B$2:$B$301,A48)</f>
        <v>3</v>
      </c>
      <c r="C48" s="4" t="n">
        <f>SUMIFS('Goals'!$E$2:$E$301,'Goals'!$B$2:$B$301,A48)</f>
        <v>155000</v>
      </c>
      <c r="D48" s="4" t="n">
        <f>SUMIFS('Goals'!$F$2:$F$301,'Goals'!$B$2:$B$301,A48)</f>
        <v>49100</v>
      </c>
      <c r="E48" s="4" t="n">
        <f>SUMIFS('Transactions'!$F$2:$F$401,'Transactions'!$B$2:$B$401,A48,'Transactions'!$D$2:$D$401,"INCOME")</f>
        <v>5470</v>
      </c>
      <c r="F48" s="4" t="n">
        <f>SUMIFS('Transactions'!$F$2:$F$401,'Transactions'!$B$2:$B$401,A48,'Transactions'!$D$2:$D$401,"EXPENSE")</f>
        <v>2700</v>
      </c>
      <c r="G48" s="4" t="n">
        <f>E48-F48</f>
        <v>2770</v>
      </c>
    </row>
    <row r="49" ht="23" customHeight="1">
      <c r="A49" s="1" t="str">
        <v>U048</v>
      </c>
      <c r="B49" s="1" t="n">
        <f>COUNTIFS('Goals'!$B$2:$B$301,A49)</f>
        <v>3</v>
      </c>
      <c r="C49" s="4" t="n">
        <f>SUMIFS('Goals'!$E$2:$E$301,'Goals'!$B$2:$B$301,A49)</f>
        <v>155000</v>
      </c>
      <c r="D49" s="4" t="n">
        <f>SUMIFS('Goals'!$F$2:$F$301,'Goals'!$B$2:$B$301,A49)</f>
        <v>49400</v>
      </c>
      <c r="E49" s="4" t="n">
        <f>SUMIFS('Transactions'!$F$2:$F$401,'Transactions'!$B$2:$B$401,A49,'Transactions'!$D$2:$D$401,"INCOME")</f>
        <v>5480</v>
      </c>
      <c r="F49" s="4" t="n">
        <f>SUMIFS('Transactions'!$F$2:$F$401,'Transactions'!$B$2:$B$401,A49,'Transactions'!$D$2:$D$401,"EXPENSE")</f>
        <v>2700</v>
      </c>
      <c r="G49" s="4" t="n">
        <f>E49-F49</f>
        <v>2780</v>
      </c>
    </row>
    <row r="50" ht="23" customHeight="1">
      <c r="A50" s="1" t="str">
        <v>U049</v>
      </c>
      <c r="B50" s="1" t="n">
        <f>COUNTIFS('Goals'!$B$2:$B$301,A50)</f>
        <v>3</v>
      </c>
      <c r="C50" s="4" t="n">
        <f>SUMIFS('Goals'!$E$2:$E$301,'Goals'!$B$2:$B$301,A50)</f>
        <v>155000</v>
      </c>
      <c r="D50" s="4" t="n">
        <f>SUMIFS('Goals'!$F$2:$F$301,'Goals'!$B$2:$B$301,A50)</f>
        <v>49700</v>
      </c>
      <c r="E50" s="4" t="n">
        <f>SUMIFS('Transactions'!$F$2:$F$401,'Transactions'!$B$2:$B$401,A50,'Transactions'!$D$2:$D$401,"INCOME")</f>
        <v>5490</v>
      </c>
      <c r="F50" s="4" t="n">
        <f>SUMIFS('Transactions'!$F$2:$F$401,'Transactions'!$B$2:$B$401,A50,'Transactions'!$D$2:$D$401,"EXPENSE")</f>
        <v>2700</v>
      </c>
      <c r="G50" s="4" t="n">
        <f>E50-F50</f>
        <v>2790</v>
      </c>
    </row>
    <row r="51" ht="23" customHeight="1">
      <c r="A51" s="1" t="str">
        <v>U050</v>
      </c>
      <c r="B51" s="1" t="n">
        <f>COUNTIFS('Goals'!$B$2:$B$301,A51)</f>
        <v>3</v>
      </c>
      <c r="C51" s="4" t="n">
        <f>SUMIFS('Goals'!$E$2:$E$301,'Goals'!$B$2:$B$301,A51)</f>
        <v>155000</v>
      </c>
      <c r="D51" s="4" t="n">
        <f>SUMIFS('Goals'!$F$2:$F$301,'Goals'!$B$2:$B$301,A51)</f>
        <v>50000</v>
      </c>
      <c r="E51" s="4" t="n">
        <f>SUMIFS('Transactions'!$F$2:$F$401,'Transactions'!$B$2:$B$401,A51,'Transactions'!$D$2:$D$401,"INCOME")</f>
        <v>5500</v>
      </c>
      <c r="F51" s="4" t="n">
        <f>SUMIFS('Transactions'!$F$2:$F$401,'Transactions'!$B$2:$B$401,A51,'Transactions'!$D$2:$D$401,"EXPENSE")</f>
        <v>2700</v>
      </c>
      <c r="G51" s="4" t="n">
        <f>E51-F51</f>
        <v>2800</v>
      </c>
    </row>
    <row r="52" ht="23" customHeight="1">
      <c r="A52" s="1" t="str">
        <v>U051</v>
      </c>
      <c r="B52" s="1" t="n">
        <f>COUNTIFS('Goals'!$B$2:$B$301,A52)</f>
        <v>3</v>
      </c>
      <c r="C52" s="4" t="n">
        <f>SUMIFS('Goals'!$E$2:$E$301,'Goals'!$B$2:$B$301,A52)</f>
        <v>155000</v>
      </c>
      <c r="D52" s="4" t="n">
        <f>SUMIFS('Goals'!$F$2:$F$301,'Goals'!$B$2:$B$301,A52)</f>
        <v>50300</v>
      </c>
      <c r="E52" s="4" t="n">
        <f>SUMIFS('Transactions'!$F$2:$F$401,'Transactions'!$B$2:$B$401,A52,'Transactions'!$D$2:$D$401,"INCOME")</f>
        <v>5510</v>
      </c>
      <c r="F52" s="4" t="n">
        <f>SUMIFS('Transactions'!$F$2:$F$401,'Transactions'!$B$2:$B$401,A52,'Transactions'!$D$2:$D$401,"EXPENSE")</f>
        <v>2700</v>
      </c>
      <c r="G52" s="4" t="n">
        <f>E52-F52</f>
        <v>2810</v>
      </c>
    </row>
    <row r="53" ht="23" customHeight="1">
      <c r="A53" s="1" t="str">
        <v>U052</v>
      </c>
      <c r="B53" s="1" t="n">
        <f>COUNTIFS('Goals'!$B$2:$B$301,A53)</f>
        <v>3</v>
      </c>
      <c r="C53" s="4" t="n">
        <f>SUMIFS('Goals'!$E$2:$E$301,'Goals'!$B$2:$B$301,A53)</f>
        <v>155000</v>
      </c>
      <c r="D53" s="4" t="n">
        <f>SUMIFS('Goals'!$F$2:$F$301,'Goals'!$B$2:$B$301,A53)</f>
        <v>50600</v>
      </c>
      <c r="E53" s="4" t="n">
        <f>SUMIFS('Transactions'!$F$2:$F$401,'Transactions'!$B$2:$B$401,A53,'Transactions'!$D$2:$D$401,"INCOME")</f>
        <v>5520</v>
      </c>
      <c r="F53" s="4" t="n">
        <f>SUMIFS('Transactions'!$F$2:$F$401,'Transactions'!$B$2:$B$401,A53,'Transactions'!$D$2:$D$401,"EXPENSE")</f>
        <v>2700</v>
      </c>
      <c r="G53" s="4" t="n">
        <f>E53-F53</f>
        <v>2820</v>
      </c>
    </row>
    <row r="54" ht="23" customHeight="1">
      <c r="A54" s="1" t="str">
        <v>U053</v>
      </c>
      <c r="B54" s="1" t="n">
        <f>COUNTIFS('Goals'!$B$2:$B$301,A54)</f>
        <v>3</v>
      </c>
      <c r="C54" s="4" t="n">
        <f>SUMIFS('Goals'!$E$2:$E$301,'Goals'!$B$2:$B$301,A54)</f>
        <v>155000</v>
      </c>
      <c r="D54" s="4" t="n">
        <f>SUMIFS('Goals'!$F$2:$F$301,'Goals'!$B$2:$B$301,A54)</f>
        <v>50900</v>
      </c>
      <c r="E54" s="4" t="n">
        <f>SUMIFS('Transactions'!$F$2:$F$401,'Transactions'!$B$2:$B$401,A54,'Transactions'!$D$2:$D$401,"INCOME")</f>
        <v>5530</v>
      </c>
      <c r="F54" s="4" t="n">
        <f>SUMIFS('Transactions'!$F$2:$F$401,'Transactions'!$B$2:$B$401,A54,'Transactions'!$D$2:$D$401,"EXPENSE")</f>
        <v>2700</v>
      </c>
      <c r="G54" s="4" t="n">
        <f>E54-F54</f>
        <v>2830</v>
      </c>
    </row>
    <row r="55" ht="23" customHeight="1">
      <c r="A55" s="1" t="str">
        <v>U054</v>
      </c>
      <c r="B55" s="1" t="n">
        <f>COUNTIFS('Goals'!$B$2:$B$301,A55)</f>
        <v>3</v>
      </c>
      <c r="C55" s="4" t="n">
        <f>SUMIFS('Goals'!$E$2:$E$301,'Goals'!$B$2:$B$301,A55)</f>
        <v>155000</v>
      </c>
      <c r="D55" s="4" t="n">
        <f>SUMIFS('Goals'!$F$2:$F$301,'Goals'!$B$2:$B$301,A55)</f>
        <v>51200</v>
      </c>
      <c r="E55" s="4" t="n">
        <f>SUMIFS('Transactions'!$F$2:$F$401,'Transactions'!$B$2:$B$401,A55,'Transactions'!$D$2:$D$401,"INCOME")</f>
        <v>5540</v>
      </c>
      <c r="F55" s="4" t="n">
        <f>SUMIFS('Transactions'!$F$2:$F$401,'Transactions'!$B$2:$B$401,A55,'Transactions'!$D$2:$D$401,"EXPENSE")</f>
        <v>2700</v>
      </c>
      <c r="G55" s="4" t="n">
        <f>E55-F55</f>
        <v>2840</v>
      </c>
    </row>
    <row r="56" ht="23" customHeight="1">
      <c r="A56" s="1" t="str">
        <v>U055</v>
      </c>
      <c r="B56" s="1" t="n">
        <f>COUNTIFS('Goals'!$B$2:$B$301,A56)</f>
        <v>3</v>
      </c>
      <c r="C56" s="4" t="n">
        <f>SUMIFS('Goals'!$E$2:$E$301,'Goals'!$B$2:$B$301,A56)</f>
        <v>155000</v>
      </c>
      <c r="D56" s="4" t="n">
        <f>SUMIFS('Goals'!$F$2:$F$301,'Goals'!$B$2:$B$301,A56)</f>
        <v>51500</v>
      </c>
      <c r="E56" s="4" t="n">
        <f>SUMIFS('Transactions'!$F$2:$F$401,'Transactions'!$B$2:$B$401,A56,'Transactions'!$D$2:$D$401,"INCOME")</f>
        <v>5550</v>
      </c>
      <c r="F56" s="4" t="n">
        <f>SUMIFS('Transactions'!$F$2:$F$401,'Transactions'!$B$2:$B$401,A56,'Transactions'!$D$2:$D$401,"EXPENSE")</f>
        <v>2700</v>
      </c>
      <c r="G56" s="4" t="n">
        <f>E56-F56</f>
        <v>2850</v>
      </c>
    </row>
    <row r="57" ht="23" customHeight="1">
      <c r="A57" s="1" t="str">
        <v>U056</v>
      </c>
      <c r="B57" s="1" t="n">
        <f>COUNTIFS('Goals'!$B$2:$B$301,A57)</f>
        <v>3</v>
      </c>
      <c r="C57" s="4" t="n">
        <f>SUMIFS('Goals'!$E$2:$E$301,'Goals'!$B$2:$B$301,A57)</f>
        <v>155000</v>
      </c>
      <c r="D57" s="4" t="n">
        <f>SUMIFS('Goals'!$F$2:$F$301,'Goals'!$B$2:$B$301,A57)</f>
        <v>51800</v>
      </c>
      <c r="E57" s="4" t="n">
        <f>SUMIFS('Transactions'!$F$2:$F$401,'Transactions'!$B$2:$B$401,A57,'Transactions'!$D$2:$D$401,"INCOME")</f>
        <v>5560</v>
      </c>
      <c r="F57" s="4" t="n">
        <f>SUMIFS('Transactions'!$F$2:$F$401,'Transactions'!$B$2:$B$401,A57,'Transactions'!$D$2:$D$401,"EXPENSE")</f>
        <v>2700</v>
      </c>
      <c r="G57" s="4" t="n">
        <f>E57-F57</f>
        <v>2860</v>
      </c>
    </row>
    <row r="58" ht="23" customHeight="1">
      <c r="A58" s="1" t="str">
        <v>U057</v>
      </c>
      <c r="B58" s="1" t="n">
        <f>COUNTIFS('Goals'!$B$2:$B$301,A58)</f>
        <v>3</v>
      </c>
      <c r="C58" s="4" t="n">
        <f>SUMIFS('Goals'!$E$2:$E$301,'Goals'!$B$2:$B$301,A58)</f>
        <v>155000</v>
      </c>
      <c r="D58" s="4" t="n">
        <f>SUMIFS('Goals'!$F$2:$F$301,'Goals'!$B$2:$B$301,A58)</f>
        <v>52100</v>
      </c>
      <c r="E58" s="4" t="n">
        <f>SUMIFS('Transactions'!$F$2:$F$401,'Transactions'!$B$2:$B$401,A58,'Transactions'!$D$2:$D$401,"INCOME")</f>
        <v>5570</v>
      </c>
      <c r="F58" s="4" t="n">
        <f>SUMIFS('Transactions'!$F$2:$F$401,'Transactions'!$B$2:$B$401,A58,'Transactions'!$D$2:$D$401,"EXPENSE")</f>
        <v>2700</v>
      </c>
      <c r="G58" s="4" t="n">
        <f>E58-F58</f>
        <v>2870</v>
      </c>
    </row>
    <row r="59" ht="23" customHeight="1">
      <c r="A59" s="1" t="str">
        <v>U058</v>
      </c>
      <c r="B59" s="1" t="n">
        <f>COUNTIFS('Goals'!$B$2:$B$301,A59)</f>
        <v>3</v>
      </c>
      <c r="C59" s="4" t="n">
        <f>SUMIFS('Goals'!$E$2:$E$301,'Goals'!$B$2:$B$301,A59)</f>
        <v>155000</v>
      </c>
      <c r="D59" s="4" t="n">
        <f>SUMIFS('Goals'!$F$2:$F$301,'Goals'!$B$2:$B$301,A59)</f>
        <v>52400</v>
      </c>
      <c r="E59" s="4" t="n">
        <f>SUMIFS('Transactions'!$F$2:$F$401,'Transactions'!$B$2:$B$401,A59,'Transactions'!$D$2:$D$401,"INCOME")</f>
        <v>5580</v>
      </c>
      <c r="F59" s="4" t="n">
        <f>SUMIFS('Transactions'!$F$2:$F$401,'Transactions'!$B$2:$B$401,A59,'Transactions'!$D$2:$D$401,"EXPENSE")</f>
        <v>2700</v>
      </c>
      <c r="G59" s="4" t="n">
        <f>E59-F59</f>
        <v>2880</v>
      </c>
    </row>
    <row r="60" ht="23" customHeight="1">
      <c r="A60" s="1" t="str">
        <v>U059</v>
      </c>
      <c r="B60" s="1" t="n">
        <f>COUNTIFS('Goals'!$B$2:$B$301,A60)</f>
        <v>3</v>
      </c>
      <c r="C60" s="4" t="n">
        <f>SUMIFS('Goals'!$E$2:$E$301,'Goals'!$B$2:$B$301,A60)</f>
        <v>155000</v>
      </c>
      <c r="D60" s="4" t="n">
        <f>SUMIFS('Goals'!$F$2:$F$301,'Goals'!$B$2:$B$301,A60)</f>
        <v>52700</v>
      </c>
      <c r="E60" s="4" t="n">
        <f>SUMIFS('Transactions'!$F$2:$F$401,'Transactions'!$B$2:$B$401,A60,'Transactions'!$D$2:$D$401,"INCOME")</f>
        <v>5590</v>
      </c>
      <c r="F60" s="4" t="n">
        <f>SUMIFS('Transactions'!$F$2:$F$401,'Transactions'!$B$2:$B$401,A60,'Transactions'!$D$2:$D$401,"EXPENSE")</f>
        <v>2700</v>
      </c>
      <c r="G60" s="4" t="n">
        <f>E60-F60</f>
        <v>2890</v>
      </c>
    </row>
    <row r="61" ht="23" customHeight="1">
      <c r="A61" s="1" t="str">
        <v>U060</v>
      </c>
      <c r="B61" s="1" t="n">
        <f>COUNTIFS('Goals'!$B$2:$B$301,A61)</f>
        <v>3</v>
      </c>
      <c r="C61" s="4" t="n">
        <f>SUMIFS('Goals'!$E$2:$E$301,'Goals'!$B$2:$B$301,A61)</f>
        <v>155000</v>
      </c>
      <c r="D61" s="4" t="n">
        <f>SUMIFS('Goals'!$F$2:$F$301,'Goals'!$B$2:$B$301,A61)</f>
        <v>53000</v>
      </c>
      <c r="E61" s="4" t="n">
        <f>SUMIFS('Transactions'!$F$2:$F$401,'Transactions'!$B$2:$B$401,A61,'Transactions'!$D$2:$D$401,"INCOME")</f>
        <v>5600</v>
      </c>
      <c r="F61" s="4" t="n">
        <f>SUMIFS('Transactions'!$F$2:$F$401,'Transactions'!$B$2:$B$401,A61,'Transactions'!$D$2:$D$401,"EXPENSE")</f>
        <v>2700</v>
      </c>
      <c r="G61" s="4" t="n">
        <f>E61-F61</f>
        <v>2900</v>
      </c>
    </row>
    <row r="62" ht="23" customHeight="1">
      <c r="A62" s="1" t="str">
        <v>U061</v>
      </c>
      <c r="B62" s="1" t="n">
        <f>COUNTIFS('Goals'!$B$2:$B$301,A62)</f>
        <v>3</v>
      </c>
      <c r="C62" s="4" t="n">
        <f>SUMIFS('Goals'!$E$2:$E$301,'Goals'!$B$2:$B$301,A62)</f>
        <v>155000</v>
      </c>
      <c r="D62" s="4" t="n">
        <f>SUMIFS('Goals'!$F$2:$F$301,'Goals'!$B$2:$B$301,A62)</f>
        <v>53300</v>
      </c>
      <c r="E62" s="4" t="n">
        <f>SUMIFS('Transactions'!$F$2:$F$401,'Transactions'!$B$2:$B$401,A62,'Transactions'!$D$2:$D$401,"INCOME")</f>
        <v>5610</v>
      </c>
      <c r="F62" s="4" t="n">
        <f>SUMIFS('Transactions'!$F$2:$F$401,'Transactions'!$B$2:$B$401,A62,'Transactions'!$D$2:$D$401,"EXPENSE")</f>
        <v>2700</v>
      </c>
      <c r="G62" s="4" t="n">
        <f>E62-F62</f>
        <v>2910</v>
      </c>
    </row>
    <row r="63" ht="23" customHeight="1">
      <c r="A63" s="1" t="str">
        <v>U062</v>
      </c>
      <c r="B63" s="1" t="n">
        <f>COUNTIFS('Goals'!$B$2:$B$301,A63)</f>
        <v>3</v>
      </c>
      <c r="C63" s="4" t="n">
        <f>SUMIFS('Goals'!$E$2:$E$301,'Goals'!$B$2:$B$301,A63)</f>
        <v>155000</v>
      </c>
      <c r="D63" s="4" t="n">
        <f>SUMIFS('Goals'!$F$2:$F$301,'Goals'!$B$2:$B$301,A63)</f>
        <v>53600</v>
      </c>
      <c r="E63" s="4" t="n">
        <f>SUMIFS('Transactions'!$F$2:$F$401,'Transactions'!$B$2:$B$401,A63,'Transactions'!$D$2:$D$401,"INCOME")</f>
        <v>5620</v>
      </c>
      <c r="F63" s="4" t="n">
        <f>SUMIFS('Transactions'!$F$2:$F$401,'Transactions'!$B$2:$B$401,A63,'Transactions'!$D$2:$D$401,"EXPENSE")</f>
        <v>2700</v>
      </c>
      <c r="G63" s="4" t="n">
        <f>E63-F63</f>
        <v>2920</v>
      </c>
    </row>
    <row r="64" ht="23" customHeight="1">
      <c r="A64" s="1" t="str">
        <v>U063</v>
      </c>
      <c r="B64" s="1" t="n">
        <f>COUNTIFS('Goals'!$B$2:$B$301,A64)</f>
        <v>3</v>
      </c>
      <c r="C64" s="4" t="n">
        <f>SUMIFS('Goals'!$E$2:$E$301,'Goals'!$B$2:$B$301,A64)</f>
        <v>155000</v>
      </c>
      <c r="D64" s="4" t="n">
        <f>SUMIFS('Goals'!$F$2:$F$301,'Goals'!$B$2:$B$301,A64)</f>
        <v>53900</v>
      </c>
      <c r="E64" s="4" t="n">
        <f>SUMIFS('Transactions'!$F$2:$F$401,'Transactions'!$B$2:$B$401,A64,'Transactions'!$D$2:$D$401,"INCOME")</f>
        <v>5630</v>
      </c>
      <c r="F64" s="4" t="n">
        <f>SUMIFS('Transactions'!$F$2:$F$401,'Transactions'!$B$2:$B$401,A64,'Transactions'!$D$2:$D$401,"EXPENSE")</f>
        <v>2700</v>
      </c>
      <c r="G64" s="4" t="n">
        <f>E64-F64</f>
        <v>2930</v>
      </c>
    </row>
    <row r="65" ht="23" customHeight="1">
      <c r="A65" s="1" t="str">
        <v>U064</v>
      </c>
      <c r="B65" s="1" t="n">
        <f>COUNTIFS('Goals'!$B$2:$B$301,A65)</f>
        <v>3</v>
      </c>
      <c r="C65" s="4" t="n">
        <f>SUMIFS('Goals'!$E$2:$E$301,'Goals'!$B$2:$B$301,A65)</f>
        <v>155000</v>
      </c>
      <c r="D65" s="4" t="n">
        <f>SUMIFS('Goals'!$F$2:$F$301,'Goals'!$B$2:$B$301,A65)</f>
        <v>54200</v>
      </c>
      <c r="E65" s="4" t="n">
        <f>SUMIFS('Transactions'!$F$2:$F$401,'Transactions'!$B$2:$B$401,A65,'Transactions'!$D$2:$D$401,"INCOME")</f>
        <v>5640</v>
      </c>
      <c r="F65" s="4" t="n">
        <f>SUMIFS('Transactions'!$F$2:$F$401,'Transactions'!$B$2:$B$401,A65,'Transactions'!$D$2:$D$401,"EXPENSE")</f>
        <v>2700</v>
      </c>
      <c r="G65" s="4" t="n">
        <f>E65-F65</f>
        <v>2940</v>
      </c>
    </row>
    <row r="66" ht="23" customHeight="1">
      <c r="A66" s="1" t="str">
        <v>U065</v>
      </c>
      <c r="B66" s="1" t="n">
        <f>COUNTIFS('Goals'!$B$2:$B$301,A66)</f>
        <v>3</v>
      </c>
      <c r="C66" s="4" t="n">
        <f>SUMIFS('Goals'!$E$2:$E$301,'Goals'!$B$2:$B$301,A66)</f>
        <v>155000</v>
      </c>
      <c r="D66" s="4" t="n">
        <f>SUMIFS('Goals'!$F$2:$F$301,'Goals'!$B$2:$B$301,A66)</f>
        <v>54500</v>
      </c>
      <c r="E66" s="4" t="n">
        <f>SUMIFS('Transactions'!$F$2:$F$401,'Transactions'!$B$2:$B$401,A66,'Transactions'!$D$2:$D$401,"INCOME")</f>
        <v>5650</v>
      </c>
      <c r="F66" s="4" t="n">
        <f>SUMIFS('Transactions'!$F$2:$F$401,'Transactions'!$B$2:$B$401,A66,'Transactions'!$D$2:$D$401,"EXPENSE")</f>
        <v>2700</v>
      </c>
      <c r="G66" s="4" t="n">
        <f>E66-F66</f>
        <v>2950</v>
      </c>
    </row>
    <row r="67" ht="23" customHeight="1">
      <c r="A67" s="1" t="str">
        <v>U066</v>
      </c>
      <c r="B67" s="1" t="n">
        <f>COUNTIFS('Goals'!$B$2:$B$301,A67)</f>
        <v>3</v>
      </c>
      <c r="C67" s="4" t="n">
        <f>SUMIFS('Goals'!$E$2:$E$301,'Goals'!$B$2:$B$301,A67)</f>
        <v>155000</v>
      </c>
      <c r="D67" s="4" t="n">
        <f>SUMIFS('Goals'!$F$2:$F$301,'Goals'!$B$2:$B$301,A67)</f>
        <v>54800</v>
      </c>
      <c r="E67" s="4" t="n">
        <f>SUMIFS('Transactions'!$F$2:$F$401,'Transactions'!$B$2:$B$401,A67,'Transactions'!$D$2:$D$401,"INCOME")</f>
        <v>5660</v>
      </c>
      <c r="F67" s="4" t="n">
        <f>SUMIFS('Transactions'!$F$2:$F$401,'Transactions'!$B$2:$B$401,A67,'Transactions'!$D$2:$D$401,"EXPENSE")</f>
        <v>2700</v>
      </c>
      <c r="G67" s="4" t="n">
        <f>E67-F67</f>
        <v>2960</v>
      </c>
    </row>
    <row r="68" ht="23" customHeight="1">
      <c r="A68" s="1" t="str">
        <v>U067</v>
      </c>
      <c r="B68" s="1" t="n">
        <f>COUNTIFS('Goals'!$B$2:$B$301,A68)</f>
        <v>3</v>
      </c>
      <c r="C68" s="4" t="n">
        <f>SUMIFS('Goals'!$E$2:$E$301,'Goals'!$B$2:$B$301,A68)</f>
        <v>155000</v>
      </c>
      <c r="D68" s="4" t="n">
        <f>SUMIFS('Goals'!$F$2:$F$301,'Goals'!$B$2:$B$301,A68)</f>
        <v>55100</v>
      </c>
      <c r="E68" s="4" t="n">
        <f>SUMIFS('Transactions'!$F$2:$F$401,'Transactions'!$B$2:$B$401,A68,'Transactions'!$D$2:$D$401,"INCOME")</f>
        <v>5670</v>
      </c>
      <c r="F68" s="4" t="n">
        <f>SUMIFS('Transactions'!$F$2:$F$401,'Transactions'!$B$2:$B$401,A68,'Transactions'!$D$2:$D$401,"EXPENSE")</f>
        <v>2700</v>
      </c>
      <c r="G68" s="4" t="n">
        <f>E68-F68</f>
        <v>2970</v>
      </c>
    </row>
    <row r="69" ht="23" customHeight="1">
      <c r="A69" s="1" t="str">
        <v>U068</v>
      </c>
      <c r="B69" s="1" t="n">
        <f>COUNTIFS('Goals'!$B$2:$B$301,A69)</f>
        <v>3</v>
      </c>
      <c r="C69" s="4" t="n">
        <f>SUMIFS('Goals'!$E$2:$E$301,'Goals'!$B$2:$B$301,A69)</f>
        <v>155000</v>
      </c>
      <c r="D69" s="4" t="n">
        <f>SUMIFS('Goals'!$F$2:$F$301,'Goals'!$B$2:$B$301,A69)</f>
        <v>55400</v>
      </c>
      <c r="E69" s="4" t="n">
        <f>SUMIFS('Transactions'!$F$2:$F$401,'Transactions'!$B$2:$B$401,A69,'Transactions'!$D$2:$D$401,"INCOME")</f>
        <v>5680</v>
      </c>
      <c r="F69" s="4" t="n">
        <f>SUMIFS('Transactions'!$F$2:$F$401,'Transactions'!$B$2:$B$401,A69,'Transactions'!$D$2:$D$401,"EXPENSE")</f>
        <v>2700</v>
      </c>
      <c r="G69" s="4" t="n">
        <f>E69-F69</f>
        <v>2980</v>
      </c>
    </row>
    <row r="70" ht="23" customHeight="1">
      <c r="A70" s="1" t="str">
        <v>U069</v>
      </c>
      <c r="B70" s="1" t="n">
        <f>COUNTIFS('Goals'!$B$2:$B$301,A70)</f>
        <v>3</v>
      </c>
      <c r="C70" s="4" t="n">
        <f>SUMIFS('Goals'!$E$2:$E$301,'Goals'!$B$2:$B$301,A70)</f>
        <v>155000</v>
      </c>
      <c r="D70" s="4" t="n">
        <f>SUMIFS('Goals'!$F$2:$F$301,'Goals'!$B$2:$B$301,A70)</f>
        <v>55700</v>
      </c>
      <c r="E70" s="4" t="n">
        <f>SUMIFS('Transactions'!$F$2:$F$401,'Transactions'!$B$2:$B$401,A70,'Transactions'!$D$2:$D$401,"INCOME")</f>
        <v>5690</v>
      </c>
      <c r="F70" s="4" t="n">
        <f>SUMIFS('Transactions'!$F$2:$F$401,'Transactions'!$B$2:$B$401,A70,'Transactions'!$D$2:$D$401,"EXPENSE")</f>
        <v>2700</v>
      </c>
      <c r="G70" s="4" t="n">
        <f>E70-F70</f>
        <v>2990</v>
      </c>
    </row>
    <row r="71" ht="23" customHeight="1">
      <c r="A71" s="1" t="str">
        <v>U070</v>
      </c>
      <c r="B71" s="1" t="n">
        <f>COUNTIFS('Goals'!$B$2:$B$301,A71)</f>
        <v>3</v>
      </c>
      <c r="C71" s="4" t="n">
        <f>SUMIFS('Goals'!$E$2:$E$301,'Goals'!$B$2:$B$301,A71)</f>
        <v>155000</v>
      </c>
      <c r="D71" s="4" t="n">
        <f>SUMIFS('Goals'!$F$2:$F$301,'Goals'!$B$2:$B$301,A71)</f>
        <v>56000</v>
      </c>
      <c r="E71" s="4" t="n">
        <f>SUMIFS('Transactions'!$F$2:$F$401,'Transactions'!$B$2:$B$401,A71,'Transactions'!$D$2:$D$401,"INCOME")</f>
        <v>5700</v>
      </c>
      <c r="F71" s="4" t="n">
        <f>SUMIFS('Transactions'!$F$2:$F$401,'Transactions'!$B$2:$B$401,A71,'Transactions'!$D$2:$D$401,"EXPENSE")</f>
        <v>2700</v>
      </c>
      <c r="G71" s="4" t="n">
        <f>E71-F71</f>
        <v>3000</v>
      </c>
    </row>
    <row r="72" ht="23" customHeight="1">
      <c r="A72" s="1" t="str">
        <v>U071</v>
      </c>
      <c r="B72" s="1" t="n">
        <f>COUNTIFS('Goals'!$B$2:$B$301,A72)</f>
        <v>3</v>
      </c>
      <c r="C72" s="4" t="n">
        <f>SUMIFS('Goals'!$E$2:$E$301,'Goals'!$B$2:$B$301,A72)</f>
        <v>155000</v>
      </c>
      <c r="D72" s="4" t="n">
        <f>SUMIFS('Goals'!$F$2:$F$301,'Goals'!$B$2:$B$301,A72)</f>
        <v>56300</v>
      </c>
      <c r="E72" s="4" t="n">
        <f>SUMIFS('Transactions'!$F$2:$F$401,'Transactions'!$B$2:$B$401,A72,'Transactions'!$D$2:$D$401,"INCOME")</f>
        <v>5710</v>
      </c>
      <c r="F72" s="4" t="n">
        <f>SUMIFS('Transactions'!$F$2:$F$401,'Transactions'!$B$2:$B$401,A72,'Transactions'!$D$2:$D$401,"EXPENSE")</f>
        <v>2700</v>
      </c>
      <c r="G72" s="4" t="n">
        <f>E72-F72</f>
        <v>3010</v>
      </c>
    </row>
    <row r="73" ht="23" customHeight="1">
      <c r="A73" s="1" t="str">
        <v>U072</v>
      </c>
      <c r="B73" s="1" t="n">
        <f>COUNTIFS('Goals'!$B$2:$B$301,A73)</f>
        <v>3</v>
      </c>
      <c r="C73" s="4" t="n">
        <f>SUMIFS('Goals'!$E$2:$E$301,'Goals'!$B$2:$B$301,A73)</f>
        <v>155000</v>
      </c>
      <c r="D73" s="4" t="n">
        <f>SUMIFS('Goals'!$F$2:$F$301,'Goals'!$B$2:$B$301,A73)</f>
        <v>56600</v>
      </c>
      <c r="E73" s="4" t="n">
        <f>SUMIFS('Transactions'!$F$2:$F$401,'Transactions'!$B$2:$B$401,A73,'Transactions'!$D$2:$D$401,"INCOME")</f>
        <v>5720</v>
      </c>
      <c r="F73" s="4" t="n">
        <f>SUMIFS('Transactions'!$F$2:$F$401,'Transactions'!$B$2:$B$401,A73,'Transactions'!$D$2:$D$401,"EXPENSE")</f>
        <v>2700</v>
      </c>
      <c r="G73" s="4" t="n">
        <f>E73-F73</f>
        <v>3020</v>
      </c>
    </row>
    <row r="74" ht="23" customHeight="1">
      <c r="A74" s="1" t="str">
        <v>U073</v>
      </c>
      <c r="B74" s="1" t="n">
        <f>COUNTIFS('Goals'!$B$2:$B$301,A74)</f>
        <v>3</v>
      </c>
      <c r="C74" s="4" t="n">
        <f>SUMIFS('Goals'!$E$2:$E$301,'Goals'!$B$2:$B$301,A74)</f>
        <v>155000</v>
      </c>
      <c r="D74" s="4" t="n">
        <f>SUMIFS('Goals'!$F$2:$F$301,'Goals'!$B$2:$B$301,A74)</f>
        <v>56900</v>
      </c>
      <c r="E74" s="4" t="n">
        <f>SUMIFS('Transactions'!$F$2:$F$401,'Transactions'!$B$2:$B$401,A74,'Transactions'!$D$2:$D$401,"INCOME")</f>
        <v>5730</v>
      </c>
      <c r="F74" s="4" t="n">
        <f>SUMIFS('Transactions'!$F$2:$F$401,'Transactions'!$B$2:$B$401,A74,'Transactions'!$D$2:$D$401,"EXPENSE")</f>
        <v>2700</v>
      </c>
      <c r="G74" s="4" t="n">
        <f>E74-F74</f>
        <v>3030</v>
      </c>
    </row>
    <row r="75" ht="23" customHeight="1">
      <c r="A75" s="1" t="str">
        <v>U074</v>
      </c>
      <c r="B75" s="1" t="n">
        <f>COUNTIFS('Goals'!$B$2:$B$301,A75)</f>
        <v>3</v>
      </c>
      <c r="C75" s="4" t="n">
        <f>SUMIFS('Goals'!$E$2:$E$301,'Goals'!$B$2:$B$301,A75)</f>
        <v>155000</v>
      </c>
      <c r="D75" s="4" t="n">
        <f>SUMIFS('Goals'!$F$2:$F$301,'Goals'!$B$2:$B$301,A75)</f>
        <v>57200</v>
      </c>
      <c r="E75" s="4" t="n">
        <f>SUMIFS('Transactions'!$F$2:$F$401,'Transactions'!$B$2:$B$401,A75,'Transactions'!$D$2:$D$401,"INCOME")</f>
        <v>5740</v>
      </c>
      <c r="F75" s="4" t="n">
        <f>SUMIFS('Transactions'!$F$2:$F$401,'Transactions'!$B$2:$B$401,A75,'Transactions'!$D$2:$D$401,"EXPENSE")</f>
        <v>2700</v>
      </c>
      <c r="G75" s="4" t="n">
        <f>E75-F75</f>
        <v>3040</v>
      </c>
    </row>
    <row r="76" ht="23" customHeight="1">
      <c r="A76" s="1" t="str">
        <v>U075</v>
      </c>
      <c r="B76" s="1" t="n">
        <f>COUNTIFS('Goals'!$B$2:$B$301,A76)</f>
        <v>3</v>
      </c>
      <c r="C76" s="4" t="n">
        <f>SUMIFS('Goals'!$E$2:$E$301,'Goals'!$B$2:$B$301,A76)</f>
        <v>155000</v>
      </c>
      <c r="D76" s="4" t="n">
        <f>SUMIFS('Goals'!$F$2:$F$301,'Goals'!$B$2:$B$301,A76)</f>
        <v>57500</v>
      </c>
      <c r="E76" s="4" t="n">
        <f>SUMIFS('Transactions'!$F$2:$F$401,'Transactions'!$B$2:$B$401,A76,'Transactions'!$D$2:$D$401,"INCOME")</f>
        <v>5750</v>
      </c>
      <c r="F76" s="4" t="n">
        <f>SUMIFS('Transactions'!$F$2:$F$401,'Transactions'!$B$2:$B$401,A76,'Transactions'!$D$2:$D$401,"EXPENSE")</f>
        <v>2700</v>
      </c>
      <c r="G76" s="4" t="n">
        <f>E76-F76</f>
        <v>3050</v>
      </c>
    </row>
    <row r="77" ht="23" customHeight="1">
      <c r="A77" s="1" t="str">
        <v>U076</v>
      </c>
      <c r="B77" s="1" t="n">
        <f>COUNTIFS('Goals'!$B$2:$B$301,A77)</f>
        <v>3</v>
      </c>
      <c r="C77" s="4" t="n">
        <f>SUMIFS('Goals'!$E$2:$E$301,'Goals'!$B$2:$B$301,A77)</f>
        <v>155000</v>
      </c>
      <c r="D77" s="4" t="n">
        <f>SUMIFS('Goals'!$F$2:$F$301,'Goals'!$B$2:$B$301,A77)</f>
        <v>57800</v>
      </c>
      <c r="E77" s="4" t="n">
        <f>SUMIFS('Transactions'!$F$2:$F$401,'Transactions'!$B$2:$B$401,A77,'Transactions'!$D$2:$D$401,"INCOME")</f>
        <v>5760</v>
      </c>
      <c r="F77" s="4" t="n">
        <f>SUMIFS('Transactions'!$F$2:$F$401,'Transactions'!$B$2:$B$401,A77,'Transactions'!$D$2:$D$401,"EXPENSE")</f>
        <v>2700</v>
      </c>
      <c r="G77" s="4" t="n">
        <f>E77-F77</f>
        <v>3060</v>
      </c>
    </row>
    <row r="78" ht="23" customHeight="1">
      <c r="A78" s="1" t="str">
        <v>U077</v>
      </c>
      <c r="B78" s="1" t="n">
        <f>COUNTIFS('Goals'!$B$2:$B$301,A78)</f>
        <v>3</v>
      </c>
      <c r="C78" s="4" t="n">
        <f>SUMIFS('Goals'!$E$2:$E$301,'Goals'!$B$2:$B$301,A78)</f>
        <v>155000</v>
      </c>
      <c r="D78" s="4" t="n">
        <f>SUMIFS('Goals'!$F$2:$F$301,'Goals'!$B$2:$B$301,A78)</f>
        <v>58100</v>
      </c>
      <c r="E78" s="4" t="n">
        <f>SUMIFS('Transactions'!$F$2:$F$401,'Transactions'!$B$2:$B$401,A78,'Transactions'!$D$2:$D$401,"INCOME")</f>
        <v>5770</v>
      </c>
      <c r="F78" s="4" t="n">
        <f>SUMIFS('Transactions'!$F$2:$F$401,'Transactions'!$B$2:$B$401,A78,'Transactions'!$D$2:$D$401,"EXPENSE")</f>
        <v>2700</v>
      </c>
      <c r="G78" s="4" t="n">
        <f>E78-F78</f>
        <v>3070</v>
      </c>
    </row>
    <row r="79" ht="23" customHeight="1">
      <c r="A79" s="1" t="str">
        <v>U078</v>
      </c>
      <c r="B79" s="1" t="n">
        <f>COUNTIFS('Goals'!$B$2:$B$301,A79)</f>
        <v>3</v>
      </c>
      <c r="C79" s="4" t="n">
        <f>SUMIFS('Goals'!$E$2:$E$301,'Goals'!$B$2:$B$301,A79)</f>
        <v>155000</v>
      </c>
      <c r="D79" s="4" t="n">
        <f>SUMIFS('Goals'!$F$2:$F$301,'Goals'!$B$2:$B$301,A79)</f>
        <v>58400</v>
      </c>
      <c r="E79" s="4" t="n">
        <f>SUMIFS('Transactions'!$F$2:$F$401,'Transactions'!$B$2:$B$401,A79,'Transactions'!$D$2:$D$401,"INCOME")</f>
        <v>5780</v>
      </c>
      <c r="F79" s="4" t="n">
        <f>SUMIFS('Transactions'!$F$2:$F$401,'Transactions'!$B$2:$B$401,A79,'Transactions'!$D$2:$D$401,"EXPENSE")</f>
        <v>2700</v>
      </c>
      <c r="G79" s="4" t="n">
        <f>E79-F79</f>
        <v>3080</v>
      </c>
    </row>
    <row r="80" ht="23" customHeight="1">
      <c r="A80" s="1" t="str">
        <v>U079</v>
      </c>
      <c r="B80" s="1" t="n">
        <f>COUNTIFS('Goals'!$B$2:$B$301,A80)</f>
        <v>3</v>
      </c>
      <c r="C80" s="4" t="n">
        <f>SUMIFS('Goals'!$E$2:$E$301,'Goals'!$B$2:$B$301,A80)</f>
        <v>155000</v>
      </c>
      <c r="D80" s="4" t="n">
        <f>SUMIFS('Goals'!$F$2:$F$301,'Goals'!$B$2:$B$301,A80)</f>
        <v>58700</v>
      </c>
      <c r="E80" s="4" t="n">
        <f>SUMIFS('Transactions'!$F$2:$F$401,'Transactions'!$B$2:$B$401,A80,'Transactions'!$D$2:$D$401,"INCOME")</f>
        <v>5790</v>
      </c>
      <c r="F80" s="4" t="n">
        <f>SUMIFS('Transactions'!$F$2:$F$401,'Transactions'!$B$2:$B$401,A80,'Transactions'!$D$2:$D$401,"EXPENSE")</f>
        <v>2700</v>
      </c>
      <c r="G80" s="4" t="n">
        <f>E80-F80</f>
        <v>3090</v>
      </c>
    </row>
    <row r="81" ht="23" customHeight="1">
      <c r="A81" s="1" t="str">
        <v>U080</v>
      </c>
      <c r="B81" s="1" t="n">
        <f>COUNTIFS('Goals'!$B$2:$B$301,A81)</f>
        <v>3</v>
      </c>
      <c r="C81" s="4" t="n">
        <f>SUMIFS('Goals'!$E$2:$E$301,'Goals'!$B$2:$B$301,A81)</f>
        <v>155000</v>
      </c>
      <c r="D81" s="4" t="n">
        <f>SUMIFS('Goals'!$F$2:$F$301,'Goals'!$B$2:$B$301,A81)</f>
        <v>59000</v>
      </c>
      <c r="E81" s="4" t="n">
        <f>SUMIFS('Transactions'!$F$2:$F$401,'Transactions'!$B$2:$B$401,A81,'Transactions'!$D$2:$D$401,"INCOME")</f>
        <v>5800</v>
      </c>
      <c r="F81" s="4" t="n">
        <f>SUMIFS('Transactions'!$F$2:$F$401,'Transactions'!$B$2:$B$401,A81,'Transactions'!$D$2:$D$401,"EXPENSE")</f>
        <v>2700</v>
      </c>
      <c r="G81" s="4" t="n">
        <f>E81-F81</f>
        <v>3100</v>
      </c>
    </row>
    <row r="82" ht="23" customHeight="1">
      <c r="A82" s="1" t="str">
        <v>U081</v>
      </c>
      <c r="B82" s="1" t="n">
        <f>COUNTIFS('Goals'!$B$2:$B$301,A82)</f>
        <v>3</v>
      </c>
      <c r="C82" s="4" t="n">
        <f>SUMIFS('Goals'!$E$2:$E$301,'Goals'!$B$2:$B$301,A82)</f>
        <v>155000</v>
      </c>
      <c r="D82" s="4" t="n">
        <f>SUMIFS('Goals'!$F$2:$F$301,'Goals'!$B$2:$B$301,A82)</f>
        <v>59300</v>
      </c>
      <c r="E82" s="4" t="n">
        <f>SUMIFS('Transactions'!$F$2:$F$401,'Transactions'!$B$2:$B$401,A82,'Transactions'!$D$2:$D$401,"INCOME")</f>
        <v>5810</v>
      </c>
      <c r="F82" s="4" t="n">
        <f>SUMIFS('Transactions'!$F$2:$F$401,'Transactions'!$B$2:$B$401,A82,'Transactions'!$D$2:$D$401,"EXPENSE")</f>
        <v>2700</v>
      </c>
      <c r="G82" s="4" t="n">
        <f>E82-F82</f>
        <v>3110</v>
      </c>
    </row>
    <row r="83" ht="23" customHeight="1">
      <c r="A83" s="1" t="str">
        <v>U082</v>
      </c>
      <c r="B83" s="1" t="n">
        <f>COUNTIFS('Goals'!$B$2:$B$301,A83)</f>
        <v>3</v>
      </c>
      <c r="C83" s="4" t="n">
        <f>SUMIFS('Goals'!$E$2:$E$301,'Goals'!$B$2:$B$301,A83)</f>
        <v>155000</v>
      </c>
      <c r="D83" s="4" t="n">
        <f>SUMIFS('Goals'!$F$2:$F$301,'Goals'!$B$2:$B$301,A83)</f>
        <v>59600</v>
      </c>
      <c r="E83" s="4" t="n">
        <f>SUMIFS('Transactions'!$F$2:$F$401,'Transactions'!$B$2:$B$401,A83,'Transactions'!$D$2:$D$401,"INCOME")</f>
        <v>5820</v>
      </c>
      <c r="F83" s="4" t="n">
        <f>SUMIFS('Transactions'!$F$2:$F$401,'Transactions'!$B$2:$B$401,A83,'Transactions'!$D$2:$D$401,"EXPENSE")</f>
        <v>2700</v>
      </c>
      <c r="G83" s="4" t="n">
        <f>E83-F83</f>
        <v>3120</v>
      </c>
    </row>
    <row r="84" ht="23" customHeight="1">
      <c r="A84" s="1" t="str">
        <v>U083</v>
      </c>
      <c r="B84" s="1" t="n">
        <f>COUNTIFS('Goals'!$B$2:$B$301,A84)</f>
        <v>3</v>
      </c>
      <c r="C84" s="4" t="n">
        <f>SUMIFS('Goals'!$E$2:$E$301,'Goals'!$B$2:$B$301,A84)</f>
        <v>155000</v>
      </c>
      <c r="D84" s="4" t="n">
        <f>SUMIFS('Goals'!$F$2:$F$301,'Goals'!$B$2:$B$301,A84)</f>
        <v>59900</v>
      </c>
      <c r="E84" s="4" t="n">
        <f>SUMIFS('Transactions'!$F$2:$F$401,'Transactions'!$B$2:$B$401,A84,'Transactions'!$D$2:$D$401,"INCOME")</f>
        <v>5830</v>
      </c>
      <c r="F84" s="4" t="n">
        <f>SUMIFS('Transactions'!$F$2:$F$401,'Transactions'!$B$2:$B$401,A84,'Transactions'!$D$2:$D$401,"EXPENSE")</f>
        <v>2700</v>
      </c>
      <c r="G84" s="4" t="n">
        <f>E84-F84</f>
        <v>3130</v>
      </c>
    </row>
    <row r="85" ht="23" customHeight="1">
      <c r="A85" s="1" t="str">
        <v>U084</v>
      </c>
      <c r="B85" s="1" t="n">
        <f>COUNTIFS('Goals'!$B$2:$B$301,A85)</f>
        <v>3</v>
      </c>
      <c r="C85" s="4" t="n">
        <f>SUMIFS('Goals'!$E$2:$E$301,'Goals'!$B$2:$B$301,A85)</f>
        <v>155000</v>
      </c>
      <c r="D85" s="4" t="n">
        <f>SUMIFS('Goals'!$F$2:$F$301,'Goals'!$B$2:$B$301,A85)</f>
        <v>60200</v>
      </c>
      <c r="E85" s="4" t="n">
        <f>SUMIFS('Transactions'!$F$2:$F$401,'Transactions'!$B$2:$B$401,A85,'Transactions'!$D$2:$D$401,"INCOME")</f>
        <v>5840</v>
      </c>
      <c r="F85" s="4" t="n">
        <f>SUMIFS('Transactions'!$F$2:$F$401,'Transactions'!$B$2:$B$401,A85,'Transactions'!$D$2:$D$401,"EXPENSE")</f>
        <v>2700</v>
      </c>
      <c r="G85" s="4" t="n">
        <f>E85-F85</f>
        <v>3140</v>
      </c>
    </row>
    <row r="86" ht="23" customHeight="1">
      <c r="A86" s="1" t="str">
        <v>U085</v>
      </c>
      <c r="B86" s="1" t="n">
        <f>COUNTIFS('Goals'!$B$2:$B$301,A86)</f>
        <v>3</v>
      </c>
      <c r="C86" s="4" t="n">
        <f>SUMIFS('Goals'!$E$2:$E$301,'Goals'!$B$2:$B$301,A86)</f>
        <v>155000</v>
      </c>
      <c r="D86" s="4" t="n">
        <f>SUMIFS('Goals'!$F$2:$F$301,'Goals'!$B$2:$B$301,A86)</f>
        <v>60500</v>
      </c>
      <c r="E86" s="4" t="n">
        <f>SUMIFS('Transactions'!$F$2:$F$401,'Transactions'!$B$2:$B$401,A86,'Transactions'!$D$2:$D$401,"INCOME")</f>
        <v>5850</v>
      </c>
      <c r="F86" s="4" t="n">
        <f>SUMIFS('Transactions'!$F$2:$F$401,'Transactions'!$B$2:$B$401,A86,'Transactions'!$D$2:$D$401,"EXPENSE")</f>
        <v>2700</v>
      </c>
      <c r="G86" s="4" t="n">
        <f>E86-F86</f>
        <v>3150</v>
      </c>
    </row>
    <row r="87" ht="23" customHeight="1">
      <c r="A87" s="1" t="str">
        <v>U086</v>
      </c>
      <c r="B87" s="1" t="n">
        <f>COUNTIFS('Goals'!$B$2:$B$301,A87)</f>
        <v>3</v>
      </c>
      <c r="C87" s="4" t="n">
        <f>SUMIFS('Goals'!$E$2:$E$301,'Goals'!$B$2:$B$301,A87)</f>
        <v>155000</v>
      </c>
      <c r="D87" s="4" t="n">
        <f>SUMIFS('Goals'!$F$2:$F$301,'Goals'!$B$2:$B$301,A87)</f>
        <v>60800</v>
      </c>
      <c r="E87" s="4" t="n">
        <f>SUMIFS('Transactions'!$F$2:$F$401,'Transactions'!$B$2:$B$401,A87,'Transactions'!$D$2:$D$401,"INCOME")</f>
        <v>5860</v>
      </c>
      <c r="F87" s="4" t="n">
        <f>SUMIFS('Transactions'!$F$2:$F$401,'Transactions'!$B$2:$B$401,A87,'Transactions'!$D$2:$D$401,"EXPENSE")</f>
        <v>2700</v>
      </c>
      <c r="G87" s="4" t="n">
        <f>E87-F87</f>
        <v>3160</v>
      </c>
    </row>
    <row r="88" ht="23" customHeight="1">
      <c r="A88" s="1" t="str">
        <v>U087</v>
      </c>
      <c r="B88" s="1" t="n">
        <f>COUNTIFS('Goals'!$B$2:$B$301,A88)</f>
        <v>3</v>
      </c>
      <c r="C88" s="4" t="n">
        <f>SUMIFS('Goals'!$E$2:$E$301,'Goals'!$B$2:$B$301,A88)</f>
        <v>155000</v>
      </c>
      <c r="D88" s="4" t="n">
        <f>SUMIFS('Goals'!$F$2:$F$301,'Goals'!$B$2:$B$301,A88)</f>
        <v>61100</v>
      </c>
      <c r="E88" s="4" t="n">
        <f>SUMIFS('Transactions'!$F$2:$F$401,'Transactions'!$B$2:$B$401,A88,'Transactions'!$D$2:$D$401,"INCOME")</f>
        <v>5870</v>
      </c>
      <c r="F88" s="4" t="n">
        <f>SUMIFS('Transactions'!$F$2:$F$401,'Transactions'!$B$2:$B$401,A88,'Transactions'!$D$2:$D$401,"EXPENSE")</f>
        <v>2700</v>
      </c>
      <c r="G88" s="4" t="n">
        <f>E88-F88</f>
        <v>3170</v>
      </c>
    </row>
    <row r="89" ht="23" customHeight="1">
      <c r="A89" s="1" t="str">
        <v>U088</v>
      </c>
      <c r="B89" s="1" t="n">
        <f>COUNTIFS('Goals'!$B$2:$B$301,A89)</f>
        <v>3</v>
      </c>
      <c r="C89" s="4" t="n">
        <f>SUMIFS('Goals'!$E$2:$E$301,'Goals'!$B$2:$B$301,A89)</f>
        <v>155000</v>
      </c>
      <c r="D89" s="4" t="n">
        <f>SUMIFS('Goals'!$F$2:$F$301,'Goals'!$B$2:$B$301,A89)</f>
        <v>61400</v>
      </c>
      <c r="E89" s="4" t="n">
        <f>SUMIFS('Transactions'!$F$2:$F$401,'Transactions'!$B$2:$B$401,A89,'Transactions'!$D$2:$D$401,"INCOME")</f>
        <v>5880</v>
      </c>
      <c r="F89" s="4" t="n">
        <f>SUMIFS('Transactions'!$F$2:$F$401,'Transactions'!$B$2:$B$401,A89,'Transactions'!$D$2:$D$401,"EXPENSE")</f>
        <v>2700</v>
      </c>
      <c r="G89" s="4" t="n">
        <f>E89-F89</f>
        <v>3180</v>
      </c>
    </row>
    <row r="90" ht="23" customHeight="1">
      <c r="A90" s="1" t="str">
        <v>U089</v>
      </c>
      <c r="B90" s="1" t="n">
        <f>COUNTIFS('Goals'!$B$2:$B$301,A90)</f>
        <v>3</v>
      </c>
      <c r="C90" s="4" t="n">
        <f>SUMIFS('Goals'!$E$2:$E$301,'Goals'!$B$2:$B$301,A90)</f>
        <v>155000</v>
      </c>
      <c r="D90" s="4" t="n">
        <f>SUMIFS('Goals'!$F$2:$F$301,'Goals'!$B$2:$B$301,A90)</f>
        <v>61700</v>
      </c>
      <c r="E90" s="4" t="n">
        <f>SUMIFS('Transactions'!$F$2:$F$401,'Transactions'!$B$2:$B$401,A90,'Transactions'!$D$2:$D$401,"INCOME")</f>
        <v>5890</v>
      </c>
      <c r="F90" s="4" t="n">
        <f>SUMIFS('Transactions'!$F$2:$F$401,'Transactions'!$B$2:$B$401,A90,'Transactions'!$D$2:$D$401,"EXPENSE")</f>
        <v>2700</v>
      </c>
      <c r="G90" s="4" t="n">
        <f>E90-F90</f>
        <v>3190</v>
      </c>
    </row>
    <row r="91" ht="23" customHeight="1">
      <c r="A91" s="1" t="str">
        <v>U090</v>
      </c>
      <c r="B91" s="1" t="n">
        <f>COUNTIFS('Goals'!$B$2:$B$301,A91)</f>
        <v>3</v>
      </c>
      <c r="C91" s="4" t="n">
        <f>SUMIFS('Goals'!$E$2:$E$301,'Goals'!$B$2:$B$301,A91)</f>
        <v>155000</v>
      </c>
      <c r="D91" s="4" t="n">
        <f>SUMIFS('Goals'!$F$2:$F$301,'Goals'!$B$2:$B$301,A91)</f>
        <v>62000</v>
      </c>
      <c r="E91" s="4" t="n">
        <f>SUMIFS('Transactions'!$F$2:$F$401,'Transactions'!$B$2:$B$401,A91,'Transactions'!$D$2:$D$401,"INCOME")</f>
        <v>5900</v>
      </c>
      <c r="F91" s="4" t="n">
        <f>SUMIFS('Transactions'!$F$2:$F$401,'Transactions'!$B$2:$B$401,A91,'Transactions'!$D$2:$D$401,"EXPENSE")</f>
        <v>2700</v>
      </c>
      <c r="G91" s="4" t="n">
        <f>E91-F91</f>
        <v>3200</v>
      </c>
    </row>
    <row r="92" ht="23" customHeight="1">
      <c r="A92" s="1" t="str">
        <v>U091</v>
      </c>
      <c r="B92" s="1" t="n">
        <f>COUNTIFS('Goals'!$B$2:$B$301,A92)</f>
        <v>3</v>
      </c>
      <c r="C92" s="4" t="n">
        <f>SUMIFS('Goals'!$E$2:$E$301,'Goals'!$B$2:$B$301,A92)</f>
        <v>155000</v>
      </c>
      <c r="D92" s="4" t="n">
        <f>SUMIFS('Goals'!$F$2:$F$301,'Goals'!$B$2:$B$301,A92)</f>
        <v>62300</v>
      </c>
      <c r="E92" s="4" t="n">
        <f>SUMIFS('Transactions'!$F$2:$F$401,'Transactions'!$B$2:$B$401,A92,'Transactions'!$D$2:$D$401,"INCOME")</f>
        <v>5910</v>
      </c>
      <c r="F92" s="4" t="n">
        <f>SUMIFS('Transactions'!$F$2:$F$401,'Transactions'!$B$2:$B$401,A92,'Transactions'!$D$2:$D$401,"EXPENSE")</f>
        <v>2700</v>
      </c>
      <c r="G92" s="4" t="n">
        <f>E92-F92</f>
        <v>3210</v>
      </c>
    </row>
    <row r="93" ht="23" customHeight="1">
      <c r="A93" s="1" t="str">
        <v>U092</v>
      </c>
      <c r="B93" s="1" t="n">
        <f>COUNTIFS('Goals'!$B$2:$B$301,A93)</f>
        <v>3</v>
      </c>
      <c r="C93" s="4" t="n">
        <f>SUMIFS('Goals'!$E$2:$E$301,'Goals'!$B$2:$B$301,A93)</f>
        <v>155000</v>
      </c>
      <c r="D93" s="4" t="n">
        <f>SUMIFS('Goals'!$F$2:$F$301,'Goals'!$B$2:$B$301,A93)</f>
        <v>62600</v>
      </c>
      <c r="E93" s="4" t="n">
        <f>SUMIFS('Transactions'!$F$2:$F$401,'Transactions'!$B$2:$B$401,A93,'Transactions'!$D$2:$D$401,"INCOME")</f>
        <v>5920</v>
      </c>
      <c r="F93" s="4" t="n">
        <f>SUMIFS('Transactions'!$F$2:$F$401,'Transactions'!$B$2:$B$401,A93,'Transactions'!$D$2:$D$401,"EXPENSE")</f>
        <v>2700</v>
      </c>
      <c r="G93" s="4" t="n">
        <f>E93-F93</f>
        <v>3220</v>
      </c>
    </row>
    <row r="94" ht="23" customHeight="1">
      <c r="A94" s="1" t="str">
        <v>U093</v>
      </c>
      <c r="B94" s="1" t="n">
        <f>COUNTIFS('Goals'!$B$2:$B$301,A94)</f>
        <v>3</v>
      </c>
      <c r="C94" s="4" t="n">
        <f>SUMIFS('Goals'!$E$2:$E$301,'Goals'!$B$2:$B$301,A94)</f>
        <v>155000</v>
      </c>
      <c r="D94" s="4" t="n">
        <f>SUMIFS('Goals'!$F$2:$F$301,'Goals'!$B$2:$B$301,A94)</f>
        <v>62900</v>
      </c>
      <c r="E94" s="4" t="n">
        <f>SUMIFS('Transactions'!$F$2:$F$401,'Transactions'!$B$2:$B$401,A94,'Transactions'!$D$2:$D$401,"INCOME")</f>
        <v>5930</v>
      </c>
      <c r="F94" s="4" t="n">
        <f>SUMIFS('Transactions'!$F$2:$F$401,'Transactions'!$B$2:$B$401,A94,'Transactions'!$D$2:$D$401,"EXPENSE")</f>
        <v>2700</v>
      </c>
      <c r="G94" s="4" t="n">
        <f>E94-F94</f>
        <v>3230</v>
      </c>
    </row>
    <row r="95" ht="23" customHeight="1">
      <c r="A95" s="1" t="str">
        <v>U094</v>
      </c>
      <c r="B95" s="1" t="n">
        <f>COUNTIFS('Goals'!$B$2:$B$301,A95)</f>
        <v>3</v>
      </c>
      <c r="C95" s="4" t="n">
        <f>SUMIFS('Goals'!$E$2:$E$301,'Goals'!$B$2:$B$301,A95)</f>
        <v>155000</v>
      </c>
      <c r="D95" s="4" t="n">
        <f>SUMIFS('Goals'!$F$2:$F$301,'Goals'!$B$2:$B$301,A95)</f>
        <v>63200</v>
      </c>
      <c r="E95" s="4" t="n">
        <f>SUMIFS('Transactions'!$F$2:$F$401,'Transactions'!$B$2:$B$401,A95,'Transactions'!$D$2:$D$401,"INCOME")</f>
        <v>5940</v>
      </c>
      <c r="F95" s="4" t="n">
        <f>SUMIFS('Transactions'!$F$2:$F$401,'Transactions'!$B$2:$B$401,A95,'Transactions'!$D$2:$D$401,"EXPENSE")</f>
        <v>2700</v>
      </c>
      <c r="G95" s="4" t="n">
        <f>E95-F95</f>
        <v>3240</v>
      </c>
    </row>
    <row r="96" ht="23" customHeight="1">
      <c r="A96" s="1" t="str">
        <v>U095</v>
      </c>
      <c r="B96" s="1" t="n">
        <f>COUNTIFS('Goals'!$B$2:$B$301,A96)</f>
        <v>3</v>
      </c>
      <c r="C96" s="4" t="n">
        <f>SUMIFS('Goals'!$E$2:$E$301,'Goals'!$B$2:$B$301,A96)</f>
        <v>155000</v>
      </c>
      <c r="D96" s="4" t="n">
        <f>SUMIFS('Goals'!$F$2:$F$301,'Goals'!$B$2:$B$301,A96)</f>
        <v>63500</v>
      </c>
      <c r="E96" s="4" t="n">
        <f>SUMIFS('Transactions'!$F$2:$F$401,'Transactions'!$B$2:$B$401,A96,'Transactions'!$D$2:$D$401,"INCOME")</f>
        <v>5950</v>
      </c>
      <c r="F96" s="4" t="n">
        <f>SUMIFS('Transactions'!$F$2:$F$401,'Transactions'!$B$2:$B$401,A96,'Transactions'!$D$2:$D$401,"EXPENSE")</f>
        <v>2700</v>
      </c>
      <c r="G96" s="4" t="n">
        <f>E96-F96</f>
        <v>3250</v>
      </c>
    </row>
    <row r="97" ht="23" customHeight="1">
      <c r="A97" s="1" t="str">
        <v>U096</v>
      </c>
      <c r="B97" s="1" t="n">
        <f>COUNTIFS('Goals'!$B$2:$B$301,A97)</f>
        <v>3</v>
      </c>
      <c r="C97" s="4" t="n">
        <f>SUMIFS('Goals'!$E$2:$E$301,'Goals'!$B$2:$B$301,A97)</f>
        <v>155000</v>
      </c>
      <c r="D97" s="4" t="n">
        <f>SUMIFS('Goals'!$F$2:$F$301,'Goals'!$B$2:$B$301,A97)</f>
        <v>63800</v>
      </c>
      <c r="E97" s="4" t="n">
        <f>SUMIFS('Transactions'!$F$2:$F$401,'Transactions'!$B$2:$B$401,A97,'Transactions'!$D$2:$D$401,"INCOME")</f>
        <v>5960</v>
      </c>
      <c r="F97" s="4" t="n">
        <f>SUMIFS('Transactions'!$F$2:$F$401,'Transactions'!$B$2:$B$401,A97,'Transactions'!$D$2:$D$401,"EXPENSE")</f>
        <v>2700</v>
      </c>
      <c r="G97" s="4" t="n">
        <f>E97-F97</f>
        <v>3260</v>
      </c>
    </row>
    <row r="98" ht="23" customHeight="1">
      <c r="A98" s="1" t="str">
        <v>U097</v>
      </c>
      <c r="B98" s="1" t="n">
        <f>COUNTIFS('Goals'!$B$2:$B$301,A98)</f>
        <v>3</v>
      </c>
      <c r="C98" s="4" t="n">
        <f>SUMIFS('Goals'!$E$2:$E$301,'Goals'!$B$2:$B$301,A98)</f>
        <v>155000</v>
      </c>
      <c r="D98" s="4" t="n">
        <f>SUMIFS('Goals'!$F$2:$F$301,'Goals'!$B$2:$B$301,A98)</f>
        <v>64100</v>
      </c>
      <c r="E98" s="4" t="n">
        <f>SUMIFS('Transactions'!$F$2:$F$401,'Transactions'!$B$2:$B$401,A98,'Transactions'!$D$2:$D$401,"INCOME")</f>
        <v>5970</v>
      </c>
      <c r="F98" s="4" t="n">
        <f>SUMIFS('Transactions'!$F$2:$F$401,'Transactions'!$B$2:$B$401,A98,'Transactions'!$D$2:$D$401,"EXPENSE")</f>
        <v>2700</v>
      </c>
      <c r="G98" s="4" t="n">
        <f>E98-F98</f>
        <v>3270</v>
      </c>
    </row>
    <row r="99" ht="23" customHeight="1">
      <c r="A99" s="1" t="str">
        <v>U098</v>
      </c>
      <c r="B99" s="1" t="n">
        <f>COUNTIFS('Goals'!$B$2:$B$301,A99)</f>
        <v>3</v>
      </c>
      <c r="C99" s="4" t="n">
        <f>SUMIFS('Goals'!$E$2:$E$301,'Goals'!$B$2:$B$301,A99)</f>
        <v>155000</v>
      </c>
      <c r="D99" s="4" t="n">
        <f>SUMIFS('Goals'!$F$2:$F$301,'Goals'!$B$2:$B$301,A99)</f>
        <v>64400</v>
      </c>
      <c r="E99" s="4" t="n">
        <f>SUMIFS('Transactions'!$F$2:$F$401,'Transactions'!$B$2:$B$401,A99,'Transactions'!$D$2:$D$401,"INCOME")</f>
        <v>5980</v>
      </c>
      <c r="F99" s="4" t="n">
        <f>SUMIFS('Transactions'!$F$2:$F$401,'Transactions'!$B$2:$B$401,A99,'Transactions'!$D$2:$D$401,"EXPENSE")</f>
        <v>2700</v>
      </c>
      <c r="G99" s="4" t="n">
        <f>E99-F99</f>
        <v>3280</v>
      </c>
    </row>
    <row r="100" ht="23" customHeight="1">
      <c r="A100" s="1" t="str">
        <v>U099</v>
      </c>
      <c r="B100" s="1" t="n">
        <f>COUNTIFS('Goals'!$B$2:$B$301,A100)</f>
        <v>3</v>
      </c>
      <c r="C100" s="4" t="n">
        <f>SUMIFS('Goals'!$E$2:$E$301,'Goals'!$B$2:$B$301,A100)</f>
        <v>155000</v>
      </c>
      <c r="D100" s="4" t="n">
        <f>SUMIFS('Goals'!$F$2:$F$301,'Goals'!$B$2:$B$301,A100)</f>
        <v>64700</v>
      </c>
      <c r="E100" s="4" t="n">
        <f>SUMIFS('Transactions'!$F$2:$F$401,'Transactions'!$B$2:$B$401,A100,'Transactions'!$D$2:$D$401,"INCOME")</f>
        <v>5990</v>
      </c>
      <c r="F100" s="4" t="n">
        <f>SUMIFS('Transactions'!$F$2:$F$401,'Transactions'!$B$2:$B$401,A100,'Transactions'!$D$2:$D$401,"EXPENSE")</f>
        <v>2700</v>
      </c>
      <c r="G100" s="4" t="n">
        <f>E100-F100</f>
        <v>3290</v>
      </c>
    </row>
    <row r="101" ht="23" customHeight="1">
      <c r="A101" s="1" t="str">
        <v>U100</v>
      </c>
      <c r="B101" s="1" t="n">
        <f>COUNTIFS('Goals'!$B$2:$B$301,A101)</f>
        <v>3</v>
      </c>
      <c r="C101" s="4" t="n">
        <f>SUMIFS('Goals'!$E$2:$E$301,'Goals'!$B$2:$B$301,A101)</f>
        <v>155000</v>
      </c>
      <c r="D101" s="4" t="n">
        <f>SUMIFS('Goals'!$F$2:$F$301,'Goals'!$B$2:$B$301,A101)</f>
        <v>65000</v>
      </c>
      <c r="E101" s="4" t="n">
        <f>SUMIFS('Transactions'!$F$2:$F$401,'Transactions'!$B$2:$B$401,A101,'Transactions'!$D$2:$D$401,"INCOME")</f>
        <v>6000</v>
      </c>
      <c r="F101" s="4" t="n">
        <f>SUMIFS('Transactions'!$F$2:$F$401,'Transactions'!$B$2:$B$401,A101,'Transactions'!$D$2:$D$401,"EXPENSE")</f>
        <v>2700</v>
      </c>
      <c r="G101" s="4" t="n">
        <f>E101-F101</f>
        <v>3300</v>
      </c>
    </row>
  </sheetData>
  <pageMargins left="0.7" right="0.7" top="0.75" bottom="0.75" header="0.3" footer="0.3"/>
  <tableParts count="1">
    <tablePart xmlns:r="http://schemas.openxmlformats.org/officeDocument/2006/relationships" r:id="R84d14de4bf9d4574"/>
  </tableParts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3" hidden="0" customWidth="1"/>
    <col min="2" max="2" width="19" hidden="0" customWidth="1"/>
    <col min="3" max="3" width="29" hidden="0" customWidth="1"/>
    <col min="4" max="4" width="19" hidden="0" customWidth="1"/>
    <col min="5" max="5" width="21" hidden="0" customWidth="1"/>
    <col min="6" max="6" width="19" hidden="0" customWidth="1"/>
  </cols>
  <sheetData>
    <row r="1" ht="30" customHeight="1">
      <c r="A1" s="3" t="str">
        <v>user_id</v>
      </c>
      <c r="B1" s="3" t="str">
        <v>username</v>
      </c>
      <c r="C1" s="3" t="str">
        <v>email</v>
      </c>
      <c r="D1" s="3" t="str">
        <v>account_status</v>
      </c>
      <c r="E1" s="3" t="str">
        <v>risk_profile</v>
      </c>
      <c r="F1" s="3" t="str">
        <v>worker_key</v>
      </c>
    </row>
    <row r="2" ht="23" customHeight="1">
      <c r="A2" s="1" t="str">
        <v>U001</v>
      </c>
      <c r="B2" s="1" t="str">
        <v>harbor001</v>
      </c>
      <c r="C2" s="1" t="str">
        <v>harbor1@example.com</v>
      </c>
      <c r="D2" s="1" t="str">
        <v>ACTIVE</v>
      </c>
      <c r="E2" s="1" t="str">
        <v>CONSERVATIVE</v>
      </c>
      <c r="F2" s="1" t="str">
        <v>worker-001</v>
      </c>
    </row>
    <row r="3" ht="23" customHeight="1">
      <c r="A3" s="1" t="str">
        <v>U002</v>
      </c>
      <c r="B3" s="1" t="str">
        <v>harbor002</v>
      </c>
      <c r="C3" s="1" t="str">
        <v>harbor2@example.com</v>
      </c>
      <c r="D3" s="1" t="str">
        <v>ACTIVE</v>
      </c>
      <c r="E3" s="1" t="str">
        <v>BALANCED</v>
      </c>
      <c r="F3" s="1" t="str">
        <v>worker-002</v>
      </c>
    </row>
    <row r="4" ht="23" customHeight="1">
      <c r="A4" s="1" t="str">
        <v>U003</v>
      </c>
      <c r="B4" s="1" t="str">
        <v>harbor003</v>
      </c>
      <c r="C4" s="1" t="str">
        <v>harbor3@example.com</v>
      </c>
      <c r="D4" s="1" t="str">
        <v>ACTIVE</v>
      </c>
      <c r="E4" s="1" t="str">
        <v>CONSERVATIVE</v>
      </c>
      <c r="F4" s="1" t="str">
        <v>worker-003</v>
      </c>
    </row>
    <row r="5" ht="23" customHeight="1">
      <c r="A5" s="1" t="str">
        <v>U004</v>
      </c>
      <c r="B5" s="1" t="str">
        <v>harbor004</v>
      </c>
      <c r="C5" s="1" t="str">
        <v>harbor4@example.com</v>
      </c>
      <c r="D5" s="1" t="str">
        <v>ACTIVE</v>
      </c>
      <c r="E5" s="1" t="str">
        <v>BALANCED</v>
      </c>
      <c r="F5" s="1" t="str">
        <v>worker-004</v>
      </c>
    </row>
    <row r="6" ht="23" customHeight="1">
      <c r="A6" s="1" t="str">
        <v>U005</v>
      </c>
      <c r="B6" s="1" t="str">
        <v>harbor005</v>
      </c>
      <c r="C6" s="1" t="str">
        <v>harbor5@example.com</v>
      </c>
      <c r="D6" s="1" t="str">
        <v>ACTIVE</v>
      </c>
      <c r="E6" s="1" t="str">
        <v>CONSERVATIVE</v>
      </c>
      <c r="F6" s="1" t="str">
        <v>worker-005</v>
      </c>
    </row>
    <row r="7" ht="23" customHeight="1">
      <c r="A7" s="1" t="str">
        <v>U006</v>
      </c>
      <c r="B7" s="1" t="str">
        <v>harbor006</v>
      </c>
      <c r="C7" s="1" t="str">
        <v>harbor6@example.com</v>
      </c>
      <c r="D7" s="1" t="str">
        <v>ACTIVE</v>
      </c>
      <c r="E7" s="1" t="str">
        <v>BALANCED</v>
      </c>
      <c r="F7" s="1" t="str">
        <v>worker-006</v>
      </c>
    </row>
    <row r="8" ht="23" customHeight="1">
      <c r="A8" s="1" t="str">
        <v>U007</v>
      </c>
      <c r="B8" s="1" t="str">
        <v>harbor007</v>
      </c>
      <c r="C8" s="1" t="str">
        <v>harbor7@example.com</v>
      </c>
      <c r="D8" s="1" t="str">
        <v>ACTIVE</v>
      </c>
      <c r="E8" s="1" t="str">
        <v>CONSERVATIVE</v>
      </c>
      <c r="F8" s="1" t="str">
        <v>worker-007</v>
      </c>
    </row>
    <row r="9" ht="23" customHeight="1">
      <c r="A9" s="1" t="str">
        <v>U008</v>
      </c>
      <c r="B9" s="1" t="str">
        <v>harbor008</v>
      </c>
      <c r="C9" s="1" t="str">
        <v>harbor8@example.com</v>
      </c>
      <c r="D9" s="1" t="str">
        <v>ACTIVE</v>
      </c>
      <c r="E9" s="1" t="str">
        <v>BALANCED</v>
      </c>
      <c r="F9" s="1" t="str">
        <v>worker-008</v>
      </c>
    </row>
    <row r="10" ht="23" customHeight="1">
      <c r="A10" s="1" t="str">
        <v>U009</v>
      </c>
      <c r="B10" s="1" t="str">
        <v>harbor009</v>
      </c>
      <c r="C10" s="1" t="str">
        <v>harbor9@example.com</v>
      </c>
      <c r="D10" s="1" t="str">
        <v>ACTIVE</v>
      </c>
      <c r="E10" s="1" t="str">
        <v>CONSERVATIVE</v>
      </c>
      <c r="F10" s="1" t="str">
        <v>worker-009</v>
      </c>
    </row>
    <row r="11" ht="23" customHeight="1">
      <c r="A11" s="1" t="str">
        <v>U010</v>
      </c>
      <c r="B11" s="1" t="str">
        <v>harbor010</v>
      </c>
      <c r="C11" s="1" t="str">
        <v>harbor10@example.com</v>
      </c>
      <c r="D11" s="1" t="str">
        <v>LOCKED</v>
      </c>
      <c r="E11" s="1" t="str">
        <v>BALANCED</v>
      </c>
      <c r="F11" s="1" t="str">
        <v>worker-010</v>
      </c>
    </row>
    <row r="12" ht="23" customHeight="1">
      <c r="A12" s="1" t="str">
        <v>U011</v>
      </c>
      <c r="B12" s="1" t="str">
        <v>harbor011</v>
      </c>
      <c r="C12" s="1" t="str">
        <v>harbor11@example.com</v>
      </c>
      <c r="D12" s="1" t="str">
        <v>ACTIVE</v>
      </c>
      <c r="E12" s="1" t="str">
        <v>CONSERVATIVE</v>
      </c>
      <c r="F12" s="1" t="str">
        <v>worker-011</v>
      </c>
    </row>
    <row r="13" ht="23" customHeight="1">
      <c r="A13" s="1" t="str">
        <v>U012</v>
      </c>
      <c r="B13" s="1" t="str">
        <v>harbor012</v>
      </c>
      <c r="C13" s="1" t="str">
        <v>harbor12@example.com</v>
      </c>
      <c r="D13" s="1" t="str">
        <v>ACTIVE</v>
      </c>
      <c r="E13" s="1" t="str">
        <v>BALANCED</v>
      </c>
      <c r="F13" s="1" t="str">
        <v>worker-012</v>
      </c>
    </row>
    <row r="14" ht="23" customHeight="1">
      <c r="A14" s="1" t="str">
        <v>U013</v>
      </c>
      <c r="B14" s="1" t="str">
        <v>harbor013</v>
      </c>
      <c r="C14" s="1" t="str">
        <v>harbor13@example.com</v>
      </c>
      <c r="D14" s="1" t="str">
        <v>ACTIVE</v>
      </c>
      <c r="E14" s="1" t="str">
        <v>CONSERVATIVE</v>
      </c>
      <c r="F14" s="1" t="str">
        <v>worker-013</v>
      </c>
    </row>
    <row r="15" ht="23" customHeight="1">
      <c r="A15" s="1" t="str">
        <v>U014</v>
      </c>
      <c r="B15" s="1" t="str">
        <v>harbor014</v>
      </c>
      <c r="C15" s="1" t="str">
        <v>harbor14@example.com</v>
      </c>
      <c r="D15" s="1" t="str">
        <v>ACTIVE</v>
      </c>
      <c r="E15" s="1" t="str">
        <v>BALANCED</v>
      </c>
      <c r="F15" s="1" t="str">
        <v>worker-014</v>
      </c>
    </row>
    <row r="16" ht="23" customHeight="1">
      <c r="A16" s="1" t="str">
        <v>U015</v>
      </c>
      <c r="B16" s="1" t="str">
        <v>harbor015</v>
      </c>
      <c r="C16" s="1" t="str">
        <v>harbor15@example.com</v>
      </c>
      <c r="D16" s="1" t="str">
        <v>ACTIVE</v>
      </c>
      <c r="E16" s="1" t="str">
        <v>CONSERVATIVE</v>
      </c>
      <c r="F16" s="1" t="str">
        <v>worker-015</v>
      </c>
    </row>
    <row r="17" ht="23" customHeight="1">
      <c r="A17" s="1" t="str">
        <v>U016</v>
      </c>
      <c r="B17" s="1" t="str">
        <v>harbor016</v>
      </c>
      <c r="C17" s="1" t="str">
        <v>harbor16@example.com</v>
      </c>
      <c r="D17" s="1" t="str">
        <v>ACTIVE</v>
      </c>
      <c r="E17" s="1" t="str">
        <v>BALANCED</v>
      </c>
      <c r="F17" s="1" t="str">
        <v>worker-016</v>
      </c>
    </row>
    <row r="18" ht="23" customHeight="1">
      <c r="A18" s="1" t="str">
        <v>U017</v>
      </c>
      <c r="B18" s="1" t="str">
        <v>harbor017</v>
      </c>
      <c r="C18" s="1" t="str">
        <v>harbor17@example.com</v>
      </c>
      <c r="D18" s="1" t="str">
        <v>ACTIVE</v>
      </c>
      <c r="E18" s="1" t="str">
        <v>CONSERVATIVE</v>
      </c>
      <c r="F18" s="1" t="str">
        <v>worker-017</v>
      </c>
    </row>
    <row r="19" ht="23" customHeight="1">
      <c r="A19" s="1" t="str">
        <v>U018</v>
      </c>
      <c r="B19" s="1" t="str">
        <v>harbor018</v>
      </c>
      <c r="C19" s="1" t="str">
        <v>harbor18@example.com</v>
      </c>
      <c r="D19" s="1" t="str">
        <v>ACTIVE</v>
      </c>
      <c r="E19" s="1" t="str">
        <v>BALANCED</v>
      </c>
      <c r="F19" s="1" t="str">
        <v>worker-018</v>
      </c>
    </row>
    <row r="20" ht="23" customHeight="1">
      <c r="A20" s="1" t="str">
        <v>U019</v>
      </c>
      <c r="B20" s="1" t="str">
        <v>harbor019</v>
      </c>
      <c r="C20" s="1" t="str">
        <v>harbor19@example.com</v>
      </c>
      <c r="D20" s="1" t="str">
        <v>ACTIVE</v>
      </c>
      <c r="E20" s="1" t="str">
        <v>CONSERVATIVE</v>
      </c>
      <c r="F20" s="1" t="str">
        <v>worker-019</v>
      </c>
    </row>
    <row r="21" ht="23" customHeight="1">
      <c r="A21" s="1" t="str">
        <v>U020</v>
      </c>
      <c r="B21" s="1" t="str">
        <v>harbor020</v>
      </c>
      <c r="C21" s="1" t="str">
        <v>harbor20@example.com</v>
      </c>
      <c r="D21" s="1" t="str">
        <v>LOCKED</v>
      </c>
      <c r="E21" s="1" t="str">
        <v>BALANCED</v>
      </c>
      <c r="F21" s="1" t="str">
        <v>worker-020</v>
      </c>
    </row>
    <row r="22" ht="23" customHeight="1">
      <c r="A22" s="1" t="str">
        <v>U021</v>
      </c>
      <c r="B22" s="1" t="str">
        <v>harbor021</v>
      </c>
      <c r="C22" s="1" t="str">
        <v>harbor21@example.com</v>
      </c>
      <c r="D22" s="1" t="str">
        <v>ACTIVE</v>
      </c>
      <c r="E22" s="1" t="str">
        <v>CONSERVATIVE</v>
      </c>
      <c r="F22" s="1" t="str">
        <v>worker-021</v>
      </c>
    </row>
    <row r="23" ht="23" customHeight="1">
      <c r="A23" s="1" t="str">
        <v>U022</v>
      </c>
      <c r="B23" s="1" t="str">
        <v>harbor022</v>
      </c>
      <c r="C23" s="1" t="str">
        <v>harbor22@example.com</v>
      </c>
      <c r="D23" s="1" t="str">
        <v>ACTIVE</v>
      </c>
      <c r="E23" s="1" t="str">
        <v>BALANCED</v>
      </c>
      <c r="F23" s="1" t="str">
        <v>worker-022</v>
      </c>
    </row>
    <row r="24" ht="23" customHeight="1">
      <c r="A24" s="1" t="str">
        <v>U023</v>
      </c>
      <c r="B24" s="1" t="str">
        <v>harbor023</v>
      </c>
      <c r="C24" s="1" t="str">
        <v>harbor23@example.com</v>
      </c>
      <c r="D24" s="1" t="str">
        <v>ACTIVE</v>
      </c>
      <c r="E24" s="1" t="str">
        <v>CONSERVATIVE</v>
      </c>
      <c r="F24" s="1" t="str">
        <v>worker-023</v>
      </c>
    </row>
    <row r="25" ht="23" customHeight="1">
      <c r="A25" s="1" t="str">
        <v>U024</v>
      </c>
      <c r="B25" s="1" t="str">
        <v>harbor024</v>
      </c>
      <c r="C25" s="1" t="str">
        <v>harbor24@example.com</v>
      </c>
      <c r="D25" s="1" t="str">
        <v>ACTIVE</v>
      </c>
      <c r="E25" s="1" t="str">
        <v>BALANCED</v>
      </c>
      <c r="F25" s="1" t="str">
        <v>worker-024</v>
      </c>
    </row>
    <row r="26" ht="23" customHeight="1">
      <c r="A26" s="1" t="str">
        <v>U025</v>
      </c>
      <c r="B26" s="1" t="str">
        <v>harbor025</v>
      </c>
      <c r="C26" s="1" t="str">
        <v>harbor25@example.com</v>
      </c>
      <c r="D26" s="1" t="str">
        <v>ACTIVE</v>
      </c>
      <c r="E26" s="1" t="str">
        <v>CONSERVATIVE</v>
      </c>
      <c r="F26" s="1" t="str">
        <v>worker-025</v>
      </c>
    </row>
    <row r="27" ht="23" customHeight="1">
      <c r="A27" s="1" t="str">
        <v>U026</v>
      </c>
      <c r="B27" s="1" t="str">
        <v>harbor026</v>
      </c>
      <c r="C27" s="1" t="str">
        <v>harbor26@example.com</v>
      </c>
      <c r="D27" s="1" t="str">
        <v>ACTIVE</v>
      </c>
      <c r="E27" s="1" t="str">
        <v>BALANCED</v>
      </c>
      <c r="F27" s="1" t="str">
        <v>worker-026</v>
      </c>
    </row>
    <row r="28" ht="23" customHeight="1">
      <c r="A28" s="1" t="str">
        <v>U027</v>
      </c>
      <c r="B28" s="1" t="str">
        <v>harbor027</v>
      </c>
      <c r="C28" s="1" t="str">
        <v>harbor27@example.com</v>
      </c>
      <c r="D28" s="1" t="str">
        <v>ACTIVE</v>
      </c>
      <c r="E28" s="1" t="str">
        <v>CONSERVATIVE</v>
      </c>
      <c r="F28" s="1" t="str">
        <v>worker-027</v>
      </c>
    </row>
    <row r="29" ht="23" customHeight="1">
      <c r="A29" s="1" t="str">
        <v>U028</v>
      </c>
      <c r="B29" s="1" t="str">
        <v>harbor028</v>
      </c>
      <c r="C29" s="1" t="str">
        <v>harbor28@example.com</v>
      </c>
      <c r="D29" s="1" t="str">
        <v>ACTIVE</v>
      </c>
      <c r="E29" s="1" t="str">
        <v>BALANCED</v>
      </c>
      <c r="F29" s="1" t="str">
        <v>worker-028</v>
      </c>
    </row>
    <row r="30" ht="23" customHeight="1">
      <c r="A30" s="1" t="str">
        <v>U029</v>
      </c>
      <c r="B30" s="1" t="str">
        <v>harbor029</v>
      </c>
      <c r="C30" s="1" t="str">
        <v>harbor29@example.com</v>
      </c>
      <c r="D30" s="1" t="str">
        <v>ACTIVE</v>
      </c>
      <c r="E30" s="1" t="str">
        <v>CONSERVATIVE</v>
      </c>
      <c r="F30" s="1" t="str">
        <v>worker-029</v>
      </c>
    </row>
    <row r="31" ht="23" customHeight="1">
      <c r="A31" s="1" t="str">
        <v>U030</v>
      </c>
      <c r="B31" s="1" t="str">
        <v>harbor030</v>
      </c>
      <c r="C31" s="1" t="str">
        <v>harbor30@example.com</v>
      </c>
      <c r="D31" s="1" t="str">
        <v>LOCKED</v>
      </c>
      <c r="E31" s="1" t="str">
        <v>BALANCED</v>
      </c>
      <c r="F31" s="1" t="str">
        <v>worker-030</v>
      </c>
    </row>
    <row r="32" ht="23" customHeight="1">
      <c r="A32" s="1" t="str">
        <v>U031</v>
      </c>
      <c r="B32" s="1" t="str">
        <v>harbor031</v>
      </c>
      <c r="C32" s="1" t="str">
        <v>harbor31@example.com</v>
      </c>
      <c r="D32" s="1" t="str">
        <v>ACTIVE</v>
      </c>
      <c r="E32" s="1" t="str">
        <v>CONSERVATIVE</v>
      </c>
      <c r="F32" s="1" t="str">
        <v>worker-031</v>
      </c>
    </row>
    <row r="33" ht="23" customHeight="1">
      <c r="A33" s="1" t="str">
        <v>U032</v>
      </c>
      <c r="B33" s="1" t="str">
        <v>harbor032</v>
      </c>
      <c r="C33" s="1" t="str">
        <v>harbor32@example.com</v>
      </c>
      <c r="D33" s="1" t="str">
        <v>ACTIVE</v>
      </c>
      <c r="E33" s="1" t="str">
        <v>BALANCED</v>
      </c>
      <c r="F33" s="1" t="str">
        <v>worker-032</v>
      </c>
    </row>
    <row r="34" ht="23" customHeight="1">
      <c r="A34" s="1" t="str">
        <v>U033</v>
      </c>
      <c r="B34" s="1" t="str">
        <v>harbor033</v>
      </c>
      <c r="C34" s="1" t="str">
        <v>harbor33@example.com</v>
      </c>
      <c r="D34" s="1" t="str">
        <v>ACTIVE</v>
      </c>
      <c r="E34" s="1" t="str">
        <v>CONSERVATIVE</v>
      </c>
      <c r="F34" s="1" t="str">
        <v>worker-033</v>
      </c>
    </row>
    <row r="35" ht="23" customHeight="1">
      <c r="A35" s="1" t="str">
        <v>U034</v>
      </c>
      <c r="B35" s="1" t="str">
        <v>harbor034</v>
      </c>
      <c r="C35" s="1" t="str">
        <v>harbor34@example.com</v>
      </c>
      <c r="D35" s="1" t="str">
        <v>ACTIVE</v>
      </c>
      <c r="E35" s="1" t="str">
        <v>BALANCED</v>
      </c>
      <c r="F35" s="1" t="str">
        <v>worker-034</v>
      </c>
    </row>
    <row r="36" ht="23" customHeight="1">
      <c r="A36" s="1" t="str">
        <v>U035</v>
      </c>
      <c r="B36" s="1" t="str">
        <v>harbor035</v>
      </c>
      <c r="C36" s="1" t="str">
        <v>harbor35@example.com</v>
      </c>
      <c r="D36" s="1" t="str">
        <v>ACTIVE</v>
      </c>
      <c r="E36" s="1" t="str">
        <v>CONSERVATIVE</v>
      </c>
      <c r="F36" s="1" t="str">
        <v>worker-035</v>
      </c>
    </row>
    <row r="37" ht="23" customHeight="1">
      <c r="A37" s="1" t="str">
        <v>U036</v>
      </c>
      <c r="B37" s="1" t="str">
        <v>harbor036</v>
      </c>
      <c r="C37" s="1" t="str">
        <v>harbor36@example.com</v>
      </c>
      <c r="D37" s="1" t="str">
        <v>ACTIVE</v>
      </c>
      <c r="E37" s="1" t="str">
        <v>BALANCED</v>
      </c>
      <c r="F37" s="1" t="str">
        <v>worker-036</v>
      </c>
    </row>
    <row r="38" ht="23" customHeight="1">
      <c r="A38" s="1" t="str">
        <v>U037</v>
      </c>
      <c r="B38" s="1" t="str">
        <v>harbor037</v>
      </c>
      <c r="C38" s="1" t="str">
        <v>harbor37@example.com</v>
      </c>
      <c r="D38" s="1" t="str">
        <v>ACTIVE</v>
      </c>
      <c r="E38" s="1" t="str">
        <v>CONSERVATIVE</v>
      </c>
      <c r="F38" s="1" t="str">
        <v>worker-037</v>
      </c>
    </row>
    <row r="39" ht="23" customHeight="1">
      <c r="A39" s="1" t="str">
        <v>U038</v>
      </c>
      <c r="B39" s="1" t="str">
        <v>harbor038</v>
      </c>
      <c r="C39" s="1" t="str">
        <v>harbor38@example.com</v>
      </c>
      <c r="D39" s="1" t="str">
        <v>ACTIVE</v>
      </c>
      <c r="E39" s="1" t="str">
        <v>BALANCED</v>
      </c>
      <c r="F39" s="1" t="str">
        <v>worker-038</v>
      </c>
    </row>
    <row r="40" ht="23" customHeight="1">
      <c r="A40" s="1" t="str">
        <v>U039</v>
      </c>
      <c r="B40" s="1" t="str">
        <v>harbor039</v>
      </c>
      <c r="C40" s="1" t="str">
        <v>harbor39@example.com</v>
      </c>
      <c r="D40" s="1" t="str">
        <v>ACTIVE</v>
      </c>
      <c r="E40" s="1" t="str">
        <v>CONSERVATIVE</v>
      </c>
      <c r="F40" s="1" t="str">
        <v>worker-039</v>
      </c>
    </row>
    <row r="41" ht="23" customHeight="1">
      <c r="A41" s="1" t="str">
        <v>U040</v>
      </c>
      <c r="B41" s="1" t="str">
        <v>harbor040</v>
      </c>
      <c r="C41" s="1" t="str">
        <v>harbor40@example.com</v>
      </c>
      <c r="D41" s="1" t="str">
        <v>LOCKED</v>
      </c>
      <c r="E41" s="1" t="str">
        <v>BALANCED</v>
      </c>
      <c r="F41" s="1" t="str">
        <v>worker-040</v>
      </c>
    </row>
    <row r="42" ht="23" customHeight="1">
      <c r="A42" s="1" t="str">
        <v>U041</v>
      </c>
      <c r="B42" s="1" t="str">
        <v>harbor041</v>
      </c>
      <c r="C42" s="1" t="str">
        <v>harbor41@example.com</v>
      </c>
      <c r="D42" s="1" t="str">
        <v>ACTIVE</v>
      </c>
      <c r="E42" s="1" t="str">
        <v>CONSERVATIVE</v>
      </c>
      <c r="F42" s="1" t="str">
        <v>worker-041</v>
      </c>
    </row>
    <row r="43" ht="23" customHeight="1">
      <c r="A43" s="1" t="str">
        <v>U042</v>
      </c>
      <c r="B43" s="1" t="str">
        <v>harbor042</v>
      </c>
      <c r="C43" s="1" t="str">
        <v>harbor42@example.com</v>
      </c>
      <c r="D43" s="1" t="str">
        <v>ACTIVE</v>
      </c>
      <c r="E43" s="1" t="str">
        <v>BALANCED</v>
      </c>
      <c r="F43" s="1" t="str">
        <v>worker-042</v>
      </c>
    </row>
    <row r="44" ht="23" customHeight="1">
      <c r="A44" s="1" t="str">
        <v>U043</v>
      </c>
      <c r="B44" s="1" t="str">
        <v>harbor043</v>
      </c>
      <c r="C44" s="1" t="str">
        <v>harbor43@example.com</v>
      </c>
      <c r="D44" s="1" t="str">
        <v>ACTIVE</v>
      </c>
      <c r="E44" s="1" t="str">
        <v>CONSERVATIVE</v>
      </c>
      <c r="F44" s="1" t="str">
        <v>worker-043</v>
      </c>
    </row>
    <row r="45" ht="23" customHeight="1">
      <c r="A45" s="1" t="str">
        <v>U044</v>
      </c>
      <c r="B45" s="1" t="str">
        <v>harbor044</v>
      </c>
      <c r="C45" s="1" t="str">
        <v>harbor44@example.com</v>
      </c>
      <c r="D45" s="1" t="str">
        <v>ACTIVE</v>
      </c>
      <c r="E45" s="1" t="str">
        <v>BALANCED</v>
      </c>
      <c r="F45" s="1" t="str">
        <v>worker-044</v>
      </c>
    </row>
    <row r="46" ht="23" customHeight="1">
      <c r="A46" s="1" t="str">
        <v>U045</v>
      </c>
      <c r="B46" s="1" t="str">
        <v>harbor045</v>
      </c>
      <c r="C46" s="1" t="str">
        <v>harbor45@example.com</v>
      </c>
      <c r="D46" s="1" t="str">
        <v>ACTIVE</v>
      </c>
      <c r="E46" s="1" t="str">
        <v>CONSERVATIVE</v>
      </c>
      <c r="F46" s="1" t="str">
        <v>worker-045</v>
      </c>
    </row>
    <row r="47" ht="23" customHeight="1">
      <c r="A47" s="1" t="str">
        <v>U046</v>
      </c>
      <c r="B47" s="1" t="str">
        <v>harbor046</v>
      </c>
      <c r="C47" s="1" t="str">
        <v>harbor46@example.com</v>
      </c>
      <c r="D47" s="1" t="str">
        <v>ACTIVE</v>
      </c>
      <c r="E47" s="1" t="str">
        <v>BALANCED</v>
      </c>
      <c r="F47" s="1" t="str">
        <v>worker-046</v>
      </c>
    </row>
    <row r="48" ht="23" customHeight="1">
      <c r="A48" s="1" t="str">
        <v>U047</v>
      </c>
      <c r="B48" s="1" t="str">
        <v>harbor047</v>
      </c>
      <c r="C48" s="1" t="str">
        <v>harbor47@example.com</v>
      </c>
      <c r="D48" s="1" t="str">
        <v>ACTIVE</v>
      </c>
      <c r="E48" s="1" t="str">
        <v>CONSERVATIVE</v>
      </c>
      <c r="F48" s="1" t="str">
        <v>worker-047</v>
      </c>
    </row>
    <row r="49" ht="23" customHeight="1">
      <c r="A49" s="1" t="str">
        <v>U048</v>
      </c>
      <c r="B49" s="1" t="str">
        <v>harbor048</v>
      </c>
      <c r="C49" s="1" t="str">
        <v>harbor48@example.com</v>
      </c>
      <c r="D49" s="1" t="str">
        <v>ACTIVE</v>
      </c>
      <c r="E49" s="1" t="str">
        <v>BALANCED</v>
      </c>
      <c r="F49" s="1" t="str">
        <v>worker-048</v>
      </c>
    </row>
    <row r="50" ht="23" customHeight="1">
      <c r="A50" s="1" t="str">
        <v>U049</v>
      </c>
      <c r="B50" s="1" t="str">
        <v>harbor049</v>
      </c>
      <c r="C50" s="1" t="str">
        <v>harbor49@example.com</v>
      </c>
      <c r="D50" s="1" t="str">
        <v>ACTIVE</v>
      </c>
      <c r="E50" s="1" t="str">
        <v>CONSERVATIVE</v>
      </c>
      <c r="F50" s="1" t="str">
        <v>worker-049</v>
      </c>
    </row>
    <row r="51" ht="23" customHeight="1">
      <c r="A51" s="1" t="str">
        <v>U050</v>
      </c>
      <c r="B51" s="1" t="str">
        <v>harbor050</v>
      </c>
      <c r="C51" s="1" t="str">
        <v>harbor50@example.com</v>
      </c>
      <c r="D51" s="1" t="str">
        <v>LOCKED</v>
      </c>
      <c r="E51" s="1" t="str">
        <v>BALANCED</v>
      </c>
      <c r="F51" s="1" t="str">
        <v>worker-050</v>
      </c>
    </row>
    <row r="52" ht="23" customHeight="1">
      <c r="A52" s="1" t="str">
        <v>U051</v>
      </c>
      <c r="B52" s="1" t="str">
        <v>harbor051</v>
      </c>
      <c r="C52" s="1" t="str">
        <v>harbor51@example.com</v>
      </c>
      <c r="D52" s="1" t="str">
        <v>ACTIVE</v>
      </c>
      <c r="E52" s="1" t="str">
        <v>CONSERVATIVE</v>
      </c>
      <c r="F52" s="1" t="str">
        <v>worker-051</v>
      </c>
    </row>
    <row r="53" ht="23" customHeight="1">
      <c r="A53" s="1" t="str">
        <v>U052</v>
      </c>
      <c r="B53" s="1" t="str">
        <v>harbor052</v>
      </c>
      <c r="C53" s="1" t="str">
        <v>harbor52@example.com</v>
      </c>
      <c r="D53" s="1" t="str">
        <v>ACTIVE</v>
      </c>
      <c r="E53" s="1" t="str">
        <v>BALANCED</v>
      </c>
      <c r="F53" s="1" t="str">
        <v>worker-052</v>
      </c>
    </row>
    <row r="54" ht="23" customHeight="1">
      <c r="A54" s="1" t="str">
        <v>U053</v>
      </c>
      <c r="B54" s="1" t="str">
        <v>harbor053</v>
      </c>
      <c r="C54" s="1" t="str">
        <v>harbor53@example.com</v>
      </c>
      <c r="D54" s="1" t="str">
        <v>ACTIVE</v>
      </c>
      <c r="E54" s="1" t="str">
        <v>CONSERVATIVE</v>
      </c>
      <c r="F54" s="1" t="str">
        <v>worker-053</v>
      </c>
    </row>
    <row r="55" ht="23" customHeight="1">
      <c r="A55" s="1" t="str">
        <v>U054</v>
      </c>
      <c r="B55" s="1" t="str">
        <v>harbor054</v>
      </c>
      <c r="C55" s="1" t="str">
        <v>harbor54@example.com</v>
      </c>
      <c r="D55" s="1" t="str">
        <v>ACTIVE</v>
      </c>
      <c r="E55" s="1" t="str">
        <v>BALANCED</v>
      </c>
      <c r="F55" s="1" t="str">
        <v>worker-054</v>
      </c>
    </row>
    <row r="56" ht="23" customHeight="1">
      <c r="A56" s="1" t="str">
        <v>U055</v>
      </c>
      <c r="B56" s="1" t="str">
        <v>harbor055</v>
      </c>
      <c r="C56" s="1" t="str">
        <v>harbor55@example.com</v>
      </c>
      <c r="D56" s="1" t="str">
        <v>ACTIVE</v>
      </c>
      <c r="E56" s="1" t="str">
        <v>CONSERVATIVE</v>
      </c>
      <c r="F56" s="1" t="str">
        <v>worker-055</v>
      </c>
    </row>
    <row r="57" ht="23" customHeight="1">
      <c r="A57" s="1" t="str">
        <v>U056</v>
      </c>
      <c r="B57" s="1" t="str">
        <v>harbor056</v>
      </c>
      <c r="C57" s="1" t="str">
        <v>harbor56@example.com</v>
      </c>
      <c r="D57" s="1" t="str">
        <v>ACTIVE</v>
      </c>
      <c r="E57" s="1" t="str">
        <v>BALANCED</v>
      </c>
      <c r="F57" s="1" t="str">
        <v>worker-056</v>
      </c>
    </row>
    <row r="58" ht="23" customHeight="1">
      <c r="A58" s="1" t="str">
        <v>U057</v>
      </c>
      <c r="B58" s="1" t="str">
        <v>harbor057</v>
      </c>
      <c r="C58" s="1" t="str">
        <v>harbor57@example.com</v>
      </c>
      <c r="D58" s="1" t="str">
        <v>ACTIVE</v>
      </c>
      <c r="E58" s="1" t="str">
        <v>CONSERVATIVE</v>
      </c>
      <c r="F58" s="1" t="str">
        <v>worker-057</v>
      </c>
    </row>
    <row r="59" ht="23" customHeight="1">
      <c r="A59" s="1" t="str">
        <v>U058</v>
      </c>
      <c r="B59" s="1" t="str">
        <v>harbor058</v>
      </c>
      <c r="C59" s="1" t="str">
        <v>harbor58@example.com</v>
      </c>
      <c r="D59" s="1" t="str">
        <v>ACTIVE</v>
      </c>
      <c r="E59" s="1" t="str">
        <v>BALANCED</v>
      </c>
      <c r="F59" s="1" t="str">
        <v>worker-058</v>
      </c>
    </row>
    <row r="60" ht="23" customHeight="1">
      <c r="A60" s="1" t="str">
        <v>U059</v>
      </c>
      <c r="B60" s="1" t="str">
        <v>harbor059</v>
      </c>
      <c r="C60" s="1" t="str">
        <v>harbor59@example.com</v>
      </c>
      <c r="D60" s="1" t="str">
        <v>ACTIVE</v>
      </c>
      <c r="E60" s="1" t="str">
        <v>CONSERVATIVE</v>
      </c>
      <c r="F60" s="1" t="str">
        <v>worker-059</v>
      </c>
    </row>
    <row r="61" ht="23" customHeight="1">
      <c r="A61" s="1" t="str">
        <v>U060</v>
      </c>
      <c r="B61" s="1" t="str">
        <v>harbor060</v>
      </c>
      <c r="C61" s="1" t="str">
        <v>harbor60@example.com</v>
      </c>
      <c r="D61" s="1" t="str">
        <v>LOCKED</v>
      </c>
      <c r="E61" s="1" t="str">
        <v>BALANCED</v>
      </c>
      <c r="F61" s="1" t="str">
        <v>worker-060</v>
      </c>
    </row>
    <row r="62" ht="23" customHeight="1">
      <c r="A62" s="1" t="str">
        <v>U061</v>
      </c>
      <c r="B62" s="1" t="str">
        <v>harbor061</v>
      </c>
      <c r="C62" s="1" t="str">
        <v>harbor61@example.com</v>
      </c>
      <c r="D62" s="1" t="str">
        <v>ACTIVE</v>
      </c>
      <c r="E62" s="1" t="str">
        <v>CONSERVATIVE</v>
      </c>
      <c r="F62" s="1" t="str">
        <v>worker-061</v>
      </c>
    </row>
    <row r="63" ht="23" customHeight="1">
      <c r="A63" s="1" t="str">
        <v>U062</v>
      </c>
      <c r="B63" s="1" t="str">
        <v>harbor062</v>
      </c>
      <c r="C63" s="1" t="str">
        <v>harbor62@example.com</v>
      </c>
      <c r="D63" s="1" t="str">
        <v>ACTIVE</v>
      </c>
      <c r="E63" s="1" t="str">
        <v>BALANCED</v>
      </c>
      <c r="F63" s="1" t="str">
        <v>worker-062</v>
      </c>
    </row>
    <row r="64" ht="23" customHeight="1">
      <c r="A64" s="1" t="str">
        <v>U063</v>
      </c>
      <c r="B64" s="1" t="str">
        <v>harbor063</v>
      </c>
      <c r="C64" s="1" t="str">
        <v>harbor63@example.com</v>
      </c>
      <c r="D64" s="1" t="str">
        <v>ACTIVE</v>
      </c>
      <c r="E64" s="1" t="str">
        <v>CONSERVATIVE</v>
      </c>
      <c r="F64" s="1" t="str">
        <v>worker-063</v>
      </c>
    </row>
    <row r="65" ht="23" customHeight="1">
      <c r="A65" s="1" t="str">
        <v>U064</v>
      </c>
      <c r="B65" s="1" t="str">
        <v>harbor064</v>
      </c>
      <c r="C65" s="1" t="str">
        <v>harbor64@example.com</v>
      </c>
      <c r="D65" s="1" t="str">
        <v>ACTIVE</v>
      </c>
      <c r="E65" s="1" t="str">
        <v>BALANCED</v>
      </c>
      <c r="F65" s="1" t="str">
        <v>worker-064</v>
      </c>
    </row>
    <row r="66" ht="23" customHeight="1">
      <c r="A66" s="1" t="str">
        <v>U065</v>
      </c>
      <c r="B66" s="1" t="str">
        <v>harbor065</v>
      </c>
      <c r="C66" s="1" t="str">
        <v>harbor65@example.com</v>
      </c>
      <c r="D66" s="1" t="str">
        <v>ACTIVE</v>
      </c>
      <c r="E66" s="1" t="str">
        <v>CONSERVATIVE</v>
      </c>
      <c r="F66" s="1" t="str">
        <v>worker-065</v>
      </c>
    </row>
    <row r="67" ht="23" customHeight="1">
      <c r="A67" s="1" t="str">
        <v>U066</v>
      </c>
      <c r="B67" s="1" t="str">
        <v>harbor066</v>
      </c>
      <c r="C67" s="1" t="str">
        <v>harbor66@example.com</v>
      </c>
      <c r="D67" s="1" t="str">
        <v>ACTIVE</v>
      </c>
      <c r="E67" s="1" t="str">
        <v>BALANCED</v>
      </c>
      <c r="F67" s="1" t="str">
        <v>worker-066</v>
      </c>
    </row>
    <row r="68" ht="23" customHeight="1">
      <c r="A68" s="1" t="str">
        <v>U067</v>
      </c>
      <c r="B68" s="1" t="str">
        <v>harbor067</v>
      </c>
      <c r="C68" s="1" t="str">
        <v>harbor67@example.com</v>
      </c>
      <c r="D68" s="1" t="str">
        <v>ACTIVE</v>
      </c>
      <c r="E68" s="1" t="str">
        <v>CONSERVATIVE</v>
      </c>
      <c r="F68" s="1" t="str">
        <v>worker-067</v>
      </c>
    </row>
    <row r="69" ht="23" customHeight="1">
      <c r="A69" s="1" t="str">
        <v>U068</v>
      </c>
      <c r="B69" s="1" t="str">
        <v>harbor068</v>
      </c>
      <c r="C69" s="1" t="str">
        <v>harbor68@example.com</v>
      </c>
      <c r="D69" s="1" t="str">
        <v>ACTIVE</v>
      </c>
      <c r="E69" s="1" t="str">
        <v>BALANCED</v>
      </c>
      <c r="F69" s="1" t="str">
        <v>worker-068</v>
      </c>
    </row>
    <row r="70" ht="23" customHeight="1">
      <c r="A70" s="1" t="str">
        <v>U069</v>
      </c>
      <c r="B70" s="1" t="str">
        <v>harbor069</v>
      </c>
      <c r="C70" s="1" t="str">
        <v>harbor69@example.com</v>
      </c>
      <c r="D70" s="1" t="str">
        <v>ACTIVE</v>
      </c>
      <c r="E70" s="1" t="str">
        <v>CONSERVATIVE</v>
      </c>
      <c r="F70" s="1" t="str">
        <v>worker-069</v>
      </c>
    </row>
    <row r="71" ht="23" customHeight="1">
      <c r="A71" s="1" t="str">
        <v>U070</v>
      </c>
      <c r="B71" s="1" t="str">
        <v>harbor070</v>
      </c>
      <c r="C71" s="1" t="str">
        <v>harbor70@example.com</v>
      </c>
      <c r="D71" s="1" t="str">
        <v>LOCKED</v>
      </c>
      <c r="E71" s="1" t="str">
        <v>BALANCED</v>
      </c>
      <c r="F71" s="1" t="str">
        <v>worker-070</v>
      </c>
    </row>
    <row r="72" ht="23" customHeight="1">
      <c r="A72" s="1" t="str">
        <v>U071</v>
      </c>
      <c r="B72" s="1" t="str">
        <v>harbor071</v>
      </c>
      <c r="C72" s="1" t="str">
        <v>harbor71@example.com</v>
      </c>
      <c r="D72" s="1" t="str">
        <v>ACTIVE</v>
      </c>
      <c r="E72" s="1" t="str">
        <v>CONSERVATIVE</v>
      </c>
      <c r="F72" s="1" t="str">
        <v>worker-071</v>
      </c>
    </row>
    <row r="73" ht="23" customHeight="1">
      <c r="A73" s="1" t="str">
        <v>U072</v>
      </c>
      <c r="B73" s="1" t="str">
        <v>harbor072</v>
      </c>
      <c r="C73" s="1" t="str">
        <v>harbor72@example.com</v>
      </c>
      <c r="D73" s="1" t="str">
        <v>ACTIVE</v>
      </c>
      <c r="E73" s="1" t="str">
        <v>BALANCED</v>
      </c>
      <c r="F73" s="1" t="str">
        <v>worker-072</v>
      </c>
    </row>
    <row r="74" ht="23" customHeight="1">
      <c r="A74" s="1" t="str">
        <v>U073</v>
      </c>
      <c r="B74" s="1" t="str">
        <v>harbor073</v>
      </c>
      <c r="C74" s="1" t="str">
        <v>harbor73@example.com</v>
      </c>
      <c r="D74" s="1" t="str">
        <v>ACTIVE</v>
      </c>
      <c r="E74" s="1" t="str">
        <v>CONSERVATIVE</v>
      </c>
      <c r="F74" s="1" t="str">
        <v>worker-073</v>
      </c>
    </row>
    <row r="75" ht="23" customHeight="1">
      <c r="A75" s="1" t="str">
        <v>U074</v>
      </c>
      <c r="B75" s="1" t="str">
        <v>harbor074</v>
      </c>
      <c r="C75" s="1" t="str">
        <v>harbor74@example.com</v>
      </c>
      <c r="D75" s="1" t="str">
        <v>ACTIVE</v>
      </c>
      <c r="E75" s="1" t="str">
        <v>BALANCED</v>
      </c>
      <c r="F75" s="1" t="str">
        <v>worker-074</v>
      </c>
    </row>
    <row r="76" ht="23" customHeight="1">
      <c r="A76" s="1" t="str">
        <v>U075</v>
      </c>
      <c r="B76" s="1" t="str">
        <v>harbor075</v>
      </c>
      <c r="C76" s="1" t="str">
        <v>harbor75@example.com</v>
      </c>
      <c r="D76" s="1" t="str">
        <v>ACTIVE</v>
      </c>
      <c r="E76" s="1" t="str">
        <v>CONSERVATIVE</v>
      </c>
      <c r="F76" s="1" t="str">
        <v>worker-075</v>
      </c>
    </row>
    <row r="77" ht="23" customHeight="1">
      <c r="A77" s="1" t="str">
        <v>U076</v>
      </c>
      <c r="B77" s="1" t="str">
        <v>harbor076</v>
      </c>
      <c r="C77" s="1" t="str">
        <v>harbor76@example.com</v>
      </c>
      <c r="D77" s="1" t="str">
        <v>ACTIVE</v>
      </c>
      <c r="E77" s="1" t="str">
        <v>BALANCED</v>
      </c>
      <c r="F77" s="1" t="str">
        <v>worker-076</v>
      </c>
    </row>
    <row r="78" ht="23" customHeight="1">
      <c r="A78" s="1" t="str">
        <v>U077</v>
      </c>
      <c r="B78" s="1" t="str">
        <v>harbor077</v>
      </c>
      <c r="C78" s="1" t="str">
        <v>harbor77@example.com</v>
      </c>
      <c r="D78" s="1" t="str">
        <v>ACTIVE</v>
      </c>
      <c r="E78" s="1" t="str">
        <v>CONSERVATIVE</v>
      </c>
      <c r="F78" s="1" t="str">
        <v>worker-077</v>
      </c>
    </row>
    <row r="79" ht="23" customHeight="1">
      <c r="A79" s="1" t="str">
        <v>U078</v>
      </c>
      <c r="B79" s="1" t="str">
        <v>harbor078</v>
      </c>
      <c r="C79" s="1" t="str">
        <v>harbor78@example.com</v>
      </c>
      <c r="D79" s="1" t="str">
        <v>ACTIVE</v>
      </c>
      <c r="E79" s="1" t="str">
        <v>BALANCED</v>
      </c>
      <c r="F79" s="1" t="str">
        <v>worker-078</v>
      </c>
    </row>
    <row r="80" ht="23" customHeight="1">
      <c r="A80" s="1" t="str">
        <v>U079</v>
      </c>
      <c r="B80" s="1" t="str">
        <v>harbor079</v>
      </c>
      <c r="C80" s="1" t="str">
        <v>harbor79@example.com</v>
      </c>
      <c r="D80" s="1" t="str">
        <v>ACTIVE</v>
      </c>
      <c r="E80" s="1" t="str">
        <v>CONSERVATIVE</v>
      </c>
      <c r="F80" s="1" t="str">
        <v>worker-079</v>
      </c>
    </row>
    <row r="81" ht="23" customHeight="1">
      <c r="A81" s="1" t="str">
        <v>U080</v>
      </c>
      <c r="B81" s="1" t="str">
        <v>harbor080</v>
      </c>
      <c r="C81" s="1" t="str">
        <v>harbor80@example.com</v>
      </c>
      <c r="D81" s="1" t="str">
        <v>LOCKED</v>
      </c>
      <c r="E81" s="1" t="str">
        <v>BALANCED</v>
      </c>
      <c r="F81" s="1" t="str">
        <v>worker-080</v>
      </c>
    </row>
    <row r="82" ht="23" customHeight="1">
      <c r="A82" s="1" t="str">
        <v>U081</v>
      </c>
      <c r="B82" s="1" t="str">
        <v>harbor081</v>
      </c>
      <c r="C82" s="1" t="str">
        <v>harbor81@example.com</v>
      </c>
      <c r="D82" s="1" t="str">
        <v>ACTIVE</v>
      </c>
      <c r="E82" s="1" t="str">
        <v>CONSERVATIVE</v>
      </c>
      <c r="F82" s="1" t="str">
        <v>worker-081</v>
      </c>
    </row>
    <row r="83" ht="23" customHeight="1">
      <c r="A83" s="1" t="str">
        <v>U082</v>
      </c>
      <c r="B83" s="1" t="str">
        <v>harbor082</v>
      </c>
      <c r="C83" s="1" t="str">
        <v>harbor82@example.com</v>
      </c>
      <c r="D83" s="1" t="str">
        <v>ACTIVE</v>
      </c>
      <c r="E83" s="1" t="str">
        <v>BALANCED</v>
      </c>
      <c r="F83" s="1" t="str">
        <v>worker-082</v>
      </c>
    </row>
    <row r="84" ht="23" customHeight="1">
      <c r="A84" s="1" t="str">
        <v>U083</v>
      </c>
      <c r="B84" s="1" t="str">
        <v>harbor083</v>
      </c>
      <c r="C84" s="1" t="str">
        <v>harbor83@example.com</v>
      </c>
      <c r="D84" s="1" t="str">
        <v>ACTIVE</v>
      </c>
      <c r="E84" s="1" t="str">
        <v>CONSERVATIVE</v>
      </c>
      <c r="F84" s="1" t="str">
        <v>worker-083</v>
      </c>
    </row>
    <row r="85" ht="23" customHeight="1">
      <c r="A85" s="1" t="str">
        <v>U084</v>
      </c>
      <c r="B85" s="1" t="str">
        <v>harbor084</v>
      </c>
      <c r="C85" s="1" t="str">
        <v>harbor84@example.com</v>
      </c>
      <c r="D85" s="1" t="str">
        <v>ACTIVE</v>
      </c>
      <c r="E85" s="1" t="str">
        <v>BALANCED</v>
      </c>
      <c r="F85" s="1" t="str">
        <v>worker-084</v>
      </c>
    </row>
    <row r="86" ht="23" customHeight="1">
      <c r="A86" s="1" t="str">
        <v>U085</v>
      </c>
      <c r="B86" s="1" t="str">
        <v>harbor085</v>
      </c>
      <c r="C86" s="1" t="str">
        <v>harbor85@example.com</v>
      </c>
      <c r="D86" s="1" t="str">
        <v>ACTIVE</v>
      </c>
      <c r="E86" s="1" t="str">
        <v>CONSERVATIVE</v>
      </c>
      <c r="F86" s="1" t="str">
        <v>worker-085</v>
      </c>
    </row>
    <row r="87" ht="23" customHeight="1">
      <c r="A87" s="1" t="str">
        <v>U086</v>
      </c>
      <c r="B87" s="1" t="str">
        <v>harbor086</v>
      </c>
      <c r="C87" s="1" t="str">
        <v>harbor86@example.com</v>
      </c>
      <c r="D87" s="1" t="str">
        <v>ACTIVE</v>
      </c>
      <c r="E87" s="1" t="str">
        <v>BALANCED</v>
      </c>
      <c r="F87" s="1" t="str">
        <v>worker-086</v>
      </c>
    </row>
    <row r="88" ht="23" customHeight="1">
      <c r="A88" s="1" t="str">
        <v>U087</v>
      </c>
      <c r="B88" s="1" t="str">
        <v>harbor087</v>
      </c>
      <c r="C88" s="1" t="str">
        <v>harbor87@example.com</v>
      </c>
      <c r="D88" s="1" t="str">
        <v>ACTIVE</v>
      </c>
      <c r="E88" s="1" t="str">
        <v>CONSERVATIVE</v>
      </c>
      <c r="F88" s="1" t="str">
        <v>worker-087</v>
      </c>
    </row>
    <row r="89" ht="23" customHeight="1">
      <c r="A89" s="1" t="str">
        <v>U088</v>
      </c>
      <c r="B89" s="1" t="str">
        <v>harbor088</v>
      </c>
      <c r="C89" s="1" t="str">
        <v>harbor88@example.com</v>
      </c>
      <c r="D89" s="1" t="str">
        <v>ACTIVE</v>
      </c>
      <c r="E89" s="1" t="str">
        <v>BALANCED</v>
      </c>
      <c r="F89" s="1" t="str">
        <v>worker-088</v>
      </c>
    </row>
    <row r="90" ht="23" customHeight="1">
      <c r="A90" s="1" t="str">
        <v>U089</v>
      </c>
      <c r="B90" s="1" t="str">
        <v>harbor089</v>
      </c>
      <c r="C90" s="1" t="str">
        <v>harbor89@example.com</v>
      </c>
      <c r="D90" s="1" t="str">
        <v>ACTIVE</v>
      </c>
      <c r="E90" s="1" t="str">
        <v>CONSERVATIVE</v>
      </c>
      <c r="F90" s="1" t="str">
        <v>worker-089</v>
      </c>
    </row>
    <row r="91" ht="23" customHeight="1">
      <c r="A91" s="1" t="str">
        <v>U090</v>
      </c>
      <c r="B91" s="1" t="str">
        <v>harbor090</v>
      </c>
      <c r="C91" s="1" t="str">
        <v>harbor90@example.com</v>
      </c>
      <c r="D91" s="1" t="str">
        <v>LOCKED</v>
      </c>
      <c r="E91" s="1" t="str">
        <v>BALANCED</v>
      </c>
      <c r="F91" s="1" t="str">
        <v>worker-090</v>
      </c>
    </row>
    <row r="92" ht="23" customHeight="1">
      <c r="A92" s="1" t="str">
        <v>U091</v>
      </c>
      <c r="B92" s="1" t="str">
        <v>harbor091</v>
      </c>
      <c r="C92" s="1" t="str">
        <v>harbor91@example.com</v>
      </c>
      <c r="D92" s="1" t="str">
        <v>ACTIVE</v>
      </c>
      <c r="E92" s="1" t="str">
        <v>CONSERVATIVE</v>
      </c>
      <c r="F92" s="1" t="str">
        <v>worker-091</v>
      </c>
    </row>
    <row r="93" ht="23" customHeight="1">
      <c r="A93" s="1" t="str">
        <v>U092</v>
      </c>
      <c r="B93" s="1" t="str">
        <v>harbor092</v>
      </c>
      <c r="C93" s="1" t="str">
        <v>harbor92@example.com</v>
      </c>
      <c r="D93" s="1" t="str">
        <v>ACTIVE</v>
      </c>
      <c r="E93" s="1" t="str">
        <v>BALANCED</v>
      </c>
      <c r="F93" s="1" t="str">
        <v>worker-092</v>
      </c>
    </row>
    <row r="94" ht="23" customHeight="1">
      <c r="A94" s="1" t="str">
        <v>U093</v>
      </c>
      <c r="B94" s="1" t="str">
        <v>harbor093</v>
      </c>
      <c r="C94" s="1" t="str">
        <v>harbor93@example.com</v>
      </c>
      <c r="D94" s="1" t="str">
        <v>ACTIVE</v>
      </c>
      <c r="E94" s="1" t="str">
        <v>CONSERVATIVE</v>
      </c>
      <c r="F94" s="1" t="str">
        <v>worker-093</v>
      </c>
    </row>
    <row r="95" ht="23" customHeight="1">
      <c r="A95" s="1" t="str">
        <v>U094</v>
      </c>
      <c r="B95" s="1" t="str">
        <v>harbor094</v>
      </c>
      <c r="C95" s="1" t="str">
        <v>harbor94@example.com</v>
      </c>
      <c r="D95" s="1" t="str">
        <v>ACTIVE</v>
      </c>
      <c r="E95" s="1" t="str">
        <v>BALANCED</v>
      </c>
      <c r="F95" s="1" t="str">
        <v>worker-094</v>
      </c>
    </row>
    <row r="96" ht="23" customHeight="1">
      <c r="A96" s="1" t="str">
        <v>U095</v>
      </c>
      <c r="B96" s="1" t="str">
        <v>harbor095</v>
      </c>
      <c r="C96" s="1" t="str">
        <v>harbor95@example.com</v>
      </c>
      <c r="D96" s="1" t="str">
        <v>ACTIVE</v>
      </c>
      <c r="E96" s="1" t="str">
        <v>CONSERVATIVE</v>
      </c>
      <c r="F96" s="1" t="str">
        <v>worker-095</v>
      </c>
    </row>
    <row r="97" ht="23" customHeight="1">
      <c r="A97" s="1" t="str">
        <v>U096</v>
      </c>
      <c r="B97" s="1" t="str">
        <v>harbor096</v>
      </c>
      <c r="C97" s="1" t="str">
        <v>harbor96@example.com</v>
      </c>
      <c r="D97" s="1" t="str">
        <v>ACTIVE</v>
      </c>
      <c r="E97" s="1" t="str">
        <v>BALANCED</v>
      </c>
      <c r="F97" s="1" t="str">
        <v>worker-096</v>
      </c>
    </row>
    <row r="98" ht="23" customHeight="1">
      <c r="A98" s="1" t="str">
        <v>U097</v>
      </c>
      <c r="B98" s="1" t="str">
        <v>harbor097</v>
      </c>
      <c r="C98" s="1" t="str">
        <v>harbor97@example.com</v>
      </c>
      <c r="D98" s="1" t="str">
        <v>ACTIVE</v>
      </c>
      <c r="E98" s="1" t="str">
        <v>CONSERVATIVE</v>
      </c>
      <c r="F98" s="1" t="str">
        <v>worker-097</v>
      </c>
    </row>
    <row r="99" ht="23" customHeight="1">
      <c r="A99" s="1" t="str">
        <v>U098</v>
      </c>
      <c r="B99" s="1" t="str">
        <v>harbor098</v>
      </c>
      <c r="C99" s="1" t="str">
        <v>harbor98@example.com</v>
      </c>
      <c r="D99" s="1" t="str">
        <v>ACTIVE</v>
      </c>
      <c r="E99" s="1" t="str">
        <v>BALANCED</v>
      </c>
      <c r="F99" s="1" t="str">
        <v>worker-098</v>
      </c>
    </row>
    <row r="100" ht="23" customHeight="1">
      <c r="A100" s="1" t="str">
        <v>U099</v>
      </c>
      <c r="B100" s="1" t="str">
        <v>harbor099</v>
      </c>
      <c r="C100" s="1" t="str">
        <v>harbor99@example.com</v>
      </c>
      <c r="D100" s="1" t="str">
        <v>ACTIVE</v>
      </c>
      <c r="E100" s="1" t="str">
        <v>CONSERVATIVE</v>
      </c>
      <c r="F100" s="1" t="str">
        <v>worker-099</v>
      </c>
    </row>
    <row r="101" ht="23" customHeight="1">
      <c r="A101" s="1" t="str">
        <v>U100</v>
      </c>
      <c r="B101" s="1" t="str">
        <v>harbor100</v>
      </c>
      <c r="C101" s="1" t="str">
        <v>harbor100@example.com</v>
      </c>
      <c r="D101" s="1" t="str">
        <v>LOCKED</v>
      </c>
      <c r="E101" s="1" t="str">
        <v>BALANCED</v>
      </c>
      <c r="F101" s="1" t="str">
        <v>worker-100</v>
      </c>
    </row>
  </sheetData>
  <pageMargins left="0.7" right="0.7" top="0.75" bottom="0.75" header="0.3" footer="0.3"/>
  <tableParts count="1">
    <tablePart xmlns:r="http://schemas.openxmlformats.org/officeDocument/2006/relationships" r:id="Rfde5e9d15d2442f6"/>
  </tableParts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3" hidden="0" customWidth="1"/>
    <col min="2" max="2" width="13" hidden="0" customWidth="1"/>
    <col min="3" max="3" width="19" hidden="0" customWidth="1"/>
    <col min="4" max="4" width="26" hidden="0" customWidth="1"/>
    <col min="5" max="5" width="19" hidden="0" customWidth="1"/>
    <col min="6" max="6" width="19" hidden="0" customWidth="1"/>
    <col min="7" max="7" width="25" hidden="0" customWidth="1"/>
    <col min="8" max="8" width="18" hidden="0" customWidth="1"/>
    <col min="9" max="9" width="16" hidden="0" customWidth="1"/>
    <col min="10" max="10" width="23" hidden="0" customWidth="1"/>
    <col min="11" max="11" width="18" hidden="0" customWidth="1"/>
  </cols>
  <sheetData>
    <row r="1" ht="30" customHeight="1">
      <c r="A1" s="3" t="str">
        <v>goal_id</v>
      </c>
      <c r="B1" s="3" t="str">
        <v>user_id</v>
      </c>
      <c r="C1" s="3" t="str">
        <v>goal_type</v>
      </c>
      <c r="D1" s="3" t="str">
        <v>goal_name</v>
      </c>
      <c r="E1" s="3" t="str">
        <v>target_amount</v>
      </c>
      <c r="F1" s="3" t="str">
        <v>saved_amount</v>
      </c>
      <c r="G1" s="3" t="str">
        <v>monthly_contribution</v>
      </c>
      <c r="H1" s="3" t="str">
        <v>target_date</v>
      </c>
      <c r="I1" s="3" t="str">
        <v>status</v>
      </c>
      <c r="J1" s="3" t="str">
        <v>remaining_amount</v>
      </c>
      <c r="K1" s="3" t="str">
        <v>progress_pct</v>
      </c>
    </row>
    <row r="2" ht="23" customHeight="1">
      <c r="A2" s="1" t="str">
        <v>G0001</v>
      </c>
      <c r="B2" s="1" t="str">
        <v>U001</v>
      </c>
      <c r="C2" s="1" t="str">
        <v>RETIREMENT</v>
      </c>
      <c r="D2" s="1" t="str">
        <v>retirement goal 1</v>
      </c>
      <c r="E2" s="4" t="n">
        <v>100000</v>
      </c>
      <c r="F2" s="4" t="n">
        <v>20100</v>
      </c>
      <c r="G2" s="4" t="n">
        <v>150</v>
      </c>
      <c r="H2" s="5" t="n">
        <v>46661</v>
      </c>
      <c r="I2" s="1" t="str">
        <v>ACTIVE</v>
      </c>
      <c r="J2" s="4" t="n">
        <f>MAX(E2-F2,0)</f>
        <v>79900</v>
      </c>
      <c r="K2" s="6" t="n">
        <f>F2/E2</f>
        <v>0.201</v>
      </c>
    </row>
    <row r="3" ht="23" customHeight="1">
      <c r="A3" s="1" t="str">
        <v>G0002</v>
      </c>
      <c r="B3" s="1" t="str">
        <v>U001</v>
      </c>
      <c r="C3" s="1" t="str">
        <v>EMERGENCY</v>
      </c>
      <c r="D3" s="1" t="str">
        <v>emergency goal 1</v>
      </c>
      <c r="E3" s="4" t="n">
        <v>15000</v>
      </c>
      <c r="F3" s="4" t="n">
        <v>5100</v>
      </c>
      <c r="G3" s="4" t="n">
        <v>300</v>
      </c>
      <c r="H3" s="5" t="n">
        <v>47026</v>
      </c>
      <c r="I3" s="1" t="str">
        <v>ACTIVE</v>
      </c>
      <c r="J3" s="4" t="n">
        <f>MAX(E3-F3,0)</f>
        <v>9900</v>
      </c>
      <c r="K3" s="6" t="n">
        <f>F3/E3</f>
        <v>0.34</v>
      </c>
    </row>
    <row r="4" ht="23" customHeight="1">
      <c r="A4" s="1" t="str">
        <v>G0003</v>
      </c>
      <c r="B4" s="1" t="str">
        <v>U001</v>
      </c>
      <c r="C4" s="1" t="str">
        <v>COLLEGE</v>
      </c>
      <c r="D4" s="1" t="str">
        <v>college goal 1</v>
      </c>
      <c r="E4" s="4" t="n">
        <v>40000</v>
      </c>
      <c r="F4" s="4" t="n">
        <v>10100</v>
      </c>
      <c r="G4" s="4" t="n">
        <v>450</v>
      </c>
      <c r="H4" s="5" t="n">
        <v>47391</v>
      </c>
      <c r="I4" s="1" t="str">
        <v>ACTIVE</v>
      </c>
      <c r="J4" s="4" t="n">
        <f>MAX(E4-F4,0)</f>
        <v>29900</v>
      </c>
      <c r="K4" s="6" t="n">
        <f>F4/E4</f>
        <v>0.2525</v>
      </c>
    </row>
    <row r="5" ht="23" customHeight="1">
      <c r="A5" s="1" t="str">
        <v>G0004</v>
      </c>
      <c r="B5" s="1" t="str">
        <v>U002</v>
      </c>
      <c r="C5" s="1" t="str">
        <v>RETIREMENT</v>
      </c>
      <c r="D5" s="1" t="str">
        <v>retirement goal 2</v>
      </c>
      <c r="E5" s="4" t="n">
        <v>100000</v>
      </c>
      <c r="F5" s="4" t="n">
        <v>20200</v>
      </c>
      <c r="G5" s="4" t="n">
        <v>150</v>
      </c>
      <c r="H5" s="5" t="n">
        <v>46661</v>
      </c>
      <c r="I5" s="1" t="str">
        <v>ACTIVE</v>
      </c>
      <c r="J5" s="4" t="n">
        <f>MAX(E5-F5,0)</f>
        <v>79800</v>
      </c>
      <c r="K5" s="6" t="n">
        <f>F5/E5</f>
        <v>0.202</v>
      </c>
    </row>
    <row r="6" ht="23" customHeight="1">
      <c r="A6" s="1" t="str">
        <v>G0005</v>
      </c>
      <c r="B6" s="1" t="str">
        <v>U002</v>
      </c>
      <c r="C6" s="1" t="str">
        <v>EMERGENCY</v>
      </c>
      <c r="D6" s="1" t="str">
        <v>emergency goal 2</v>
      </c>
      <c r="E6" s="4" t="n">
        <v>15000</v>
      </c>
      <c r="F6" s="4" t="n">
        <v>5200</v>
      </c>
      <c r="G6" s="4" t="n">
        <v>300</v>
      </c>
      <c r="H6" s="5" t="n">
        <v>47026</v>
      </c>
      <c r="I6" s="1" t="str">
        <v>ACTIVE</v>
      </c>
      <c r="J6" s="4" t="n">
        <f>MAX(E6-F6,0)</f>
        <v>9800</v>
      </c>
      <c r="K6" s="6" t="n">
        <f>F6/E6</f>
        <v>0.3466666666666667</v>
      </c>
    </row>
    <row r="7" ht="23" customHeight="1">
      <c r="A7" s="1" t="str">
        <v>G0006</v>
      </c>
      <c r="B7" s="1" t="str">
        <v>U002</v>
      </c>
      <c r="C7" s="1" t="str">
        <v>COLLEGE</v>
      </c>
      <c r="D7" s="1" t="str">
        <v>college goal 2</v>
      </c>
      <c r="E7" s="4" t="n">
        <v>40000</v>
      </c>
      <c r="F7" s="4" t="n">
        <v>10200</v>
      </c>
      <c r="G7" s="4" t="n">
        <v>450</v>
      </c>
      <c r="H7" s="5" t="n">
        <v>47391</v>
      </c>
      <c r="I7" s="1" t="str">
        <v>ACTIVE</v>
      </c>
      <c r="J7" s="4" t="n">
        <f>MAX(E7-F7,0)</f>
        <v>29800</v>
      </c>
      <c r="K7" s="6" t="n">
        <f>F7/E7</f>
        <v>0.255</v>
      </c>
    </row>
    <row r="8" ht="23" customHeight="1">
      <c r="A8" s="1" t="str">
        <v>G0007</v>
      </c>
      <c r="B8" s="1" t="str">
        <v>U003</v>
      </c>
      <c r="C8" s="1" t="str">
        <v>RETIREMENT</v>
      </c>
      <c r="D8" s="1" t="str">
        <v>retirement goal 3</v>
      </c>
      <c r="E8" s="4" t="n">
        <v>100000</v>
      </c>
      <c r="F8" s="4" t="n">
        <v>20300</v>
      </c>
      <c r="G8" s="4" t="n">
        <v>150</v>
      </c>
      <c r="H8" s="5" t="n">
        <v>46661</v>
      </c>
      <c r="I8" s="1" t="str">
        <v>ACTIVE</v>
      </c>
      <c r="J8" s="4" t="n">
        <f>MAX(E8-F8,0)</f>
        <v>79700</v>
      </c>
      <c r="K8" s="6" t="n">
        <f>F8/E8</f>
        <v>0.203</v>
      </c>
    </row>
    <row r="9" ht="23" customHeight="1">
      <c r="A9" s="1" t="str">
        <v>G0008</v>
      </c>
      <c r="B9" s="1" t="str">
        <v>U003</v>
      </c>
      <c r="C9" s="1" t="str">
        <v>EMERGENCY</v>
      </c>
      <c r="D9" s="1" t="str">
        <v>emergency goal 3</v>
      </c>
      <c r="E9" s="4" t="n">
        <v>15000</v>
      </c>
      <c r="F9" s="4" t="n">
        <v>5300</v>
      </c>
      <c r="G9" s="4" t="n">
        <v>300</v>
      </c>
      <c r="H9" s="5" t="n">
        <v>47026</v>
      </c>
      <c r="I9" s="1" t="str">
        <v>ACTIVE</v>
      </c>
      <c r="J9" s="4" t="n">
        <f>MAX(E9-F9,0)</f>
        <v>9700</v>
      </c>
      <c r="K9" s="6" t="n">
        <f>F9/E9</f>
        <v>0.35333333333333333</v>
      </c>
    </row>
    <row r="10" ht="23" customHeight="1">
      <c r="A10" s="1" t="str">
        <v>G0009</v>
      </c>
      <c r="B10" s="1" t="str">
        <v>U003</v>
      </c>
      <c r="C10" s="1" t="str">
        <v>COLLEGE</v>
      </c>
      <c r="D10" s="1" t="str">
        <v>college goal 3</v>
      </c>
      <c r="E10" s="4" t="n">
        <v>40000</v>
      </c>
      <c r="F10" s="4" t="n">
        <v>10300</v>
      </c>
      <c r="G10" s="4" t="n">
        <v>450</v>
      </c>
      <c r="H10" s="5" t="n">
        <v>47391</v>
      </c>
      <c r="I10" s="1" t="str">
        <v>ACTIVE</v>
      </c>
      <c r="J10" s="4" t="n">
        <f>MAX(E10-F10,0)</f>
        <v>29700</v>
      </c>
      <c r="K10" s="6" t="n">
        <f>F10/E10</f>
        <v>0.2575</v>
      </c>
    </row>
    <row r="11" ht="23" customHeight="1">
      <c r="A11" s="1" t="str">
        <v>G0010</v>
      </c>
      <c r="B11" s="1" t="str">
        <v>U004</v>
      </c>
      <c r="C11" s="1" t="str">
        <v>RETIREMENT</v>
      </c>
      <c r="D11" s="1" t="str">
        <v>retirement goal 4</v>
      </c>
      <c r="E11" s="4" t="n">
        <v>100000</v>
      </c>
      <c r="F11" s="4" t="n">
        <v>20400</v>
      </c>
      <c r="G11" s="4" t="n">
        <v>150</v>
      </c>
      <c r="H11" s="5" t="n">
        <v>46661</v>
      </c>
      <c r="I11" s="1" t="str">
        <v>ACTIVE</v>
      </c>
      <c r="J11" s="4" t="n">
        <f>MAX(E11-F11,0)</f>
        <v>79600</v>
      </c>
      <c r="K11" s="6" t="n">
        <f>F11/E11</f>
        <v>0.204</v>
      </c>
    </row>
    <row r="12" ht="23" customHeight="1">
      <c r="A12" s="1" t="str">
        <v>G0011</v>
      </c>
      <c r="B12" s="1" t="str">
        <v>U004</v>
      </c>
      <c r="C12" s="1" t="str">
        <v>EMERGENCY</v>
      </c>
      <c r="D12" s="1" t="str">
        <v>emergency goal 4</v>
      </c>
      <c r="E12" s="4" t="n">
        <v>15000</v>
      </c>
      <c r="F12" s="4" t="n">
        <v>5400</v>
      </c>
      <c r="G12" s="4" t="n">
        <v>300</v>
      </c>
      <c r="H12" s="5" t="n">
        <v>47026</v>
      </c>
      <c r="I12" s="1" t="str">
        <v>ACTIVE</v>
      </c>
      <c r="J12" s="4" t="n">
        <f>MAX(E12-F12,0)</f>
        <v>9600</v>
      </c>
      <c r="K12" s="6" t="n">
        <f>F12/E12</f>
        <v>0.36</v>
      </c>
    </row>
    <row r="13" ht="23" customHeight="1">
      <c r="A13" s="1" t="str">
        <v>G0012</v>
      </c>
      <c r="B13" s="1" t="str">
        <v>U004</v>
      </c>
      <c r="C13" s="1" t="str">
        <v>COLLEGE</v>
      </c>
      <c r="D13" s="1" t="str">
        <v>college goal 4</v>
      </c>
      <c r="E13" s="4" t="n">
        <v>40000</v>
      </c>
      <c r="F13" s="4" t="n">
        <v>10400</v>
      </c>
      <c r="G13" s="4" t="n">
        <v>450</v>
      </c>
      <c r="H13" s="5" t="n">
        <v>47391</v>
      </c>
      <c r="I13" s="1" t="str">
        <v>ACTIVE</v>
      </c>
      <c r="J13" s="4" t="n">
        <f>MAX(E13-F13,0)</f>
        <v>29600</v>
      </c>
      <c r="K13" s="6" t="n">
        <f>F13/E13</f>
        <v>0.26</v>
      </c>
    </row>
    <row r="14" ht="23" customHeight="1">
      <c r="A14" s="1" t="str">
        <v>G0013</v>
      </c>
      <c r="B14" s="1" t="str">
        <v>U005</v>
      </c>
      <c r="C14" s="1" t="str">
        <v>RETIREMENT</v>
      </c>
      <c r="D14" s="1" t="str">
        <v>retirement goal 5</v>
      </c>
      <c r="E14" s="4" t="n">
        <v>100000</v>
      </c>
      <c r="F14" s="4" t="n">
        <v>20500</v>
      </c>
      <c r="G14" s="4" t="n">
        <v>150</v>
      </c>
      <c r="H14" s="5" t="n">
        <v>46661</v>
      </c>
      <c r="I14" s="1" t="str">
        <v>ACTIVE</v>
      </c>
      <c r="J14" s="4" t="n">
        <f>MAX(E14-F14,0)</f>
        <v>79500</v>
      </c>
      <c r="K14" s="6" t="n">
        <f>F14/E14</f>
        <v>0.205</v>
      </c>
    </row>
    <row r="15" ht="23" customHeight="1">
      <c r="A15" s="1" t="str">
        <v>G0014</v>
      </c>
      <c r="B15" s="1" t="str">
        <v>U005</v>
      </c>
      <c r="C15" s="1" t="str">
        <v>EMERGENCY</v>
      </c>
      <c r="D15" s="1" t="str">
        <v>emergency goal 5</v>
      </c>
      <c r="E15" s="4" t="n">
        <v>15000</v>
      </c>
      <c r="F15" s="4" t="n">
        <v>5500</v>
      </c>
      <c r="G15" s="4" t="n">
        <v>300</v>
      </c>
      <c r="H15" s="5" t="n">
        <v>47026</v>
      </c>
      <c r="I15" s="1" t="str">
        <v>ACTIVE</v>
      </c>
      <c r="J15" s="4" t="n">
        <f>MAX(E15-F15,0)</f>
        <v>9500</v>
      </c>
      <c r="K15" s="6" t="n">
        <f>F15/E15</f>
        <v>0.36666666666666664</v>
      </c>
    </row>
    <row r="16" ht="23" customHeight="1">
      <c r="A16" s="1" t="str">
        <v>G0015</v>
      </c>
      <c r="B16" s="1" t="str">
        <v>U005</v>
      </c>
      <c r="C16" s="1" t="str">
        <v>COLLEGE</v>
      </c>
      <c r="D16" s="1" t="str">
        <v>college goal 5</v>
      </c>
      <c r="E16" s="4" t="n">
        <v>40000</v>
      </c>
      <c r="F16" s="4" t="n">
        <v>10500</v>
      </c>
      <c r="G16" s="4" t="n">
        <v>450</v>
      </c>
      <c r="H16" s="5" t="n">
        <v>47391</v>
      </c>
      <c r="I16" s="1" t="str">
        <v>ACTIVE</v>
      </c>
      <c r="J16" s="4" t="n">
        <f>MAX(E16-F16,0)</f>
        <v>29500</v>
      </c>
      <c r="K16" s="6" t="n">
        <f>F16/E16</f>
        <v>0.2625</v>
      </c>
    </row>
    <row r="17" ht="23" customHeight="1">
      <c r="A17" s="1" t="str">
        <v>G0016</v>
      </c>
      <c r="B17" s="1" t="str">
        <v>U006</v>
      </c>
      <c r="C17" s="1" t="str">
        <v>RETIREMENT</v>
      </c>
      <c r="D17" s="1" t="str">
        <v>retirement goal 6</v>
      </c>
      <c r="E17" s="4" t="n">
        <v>100000</v>
      </c>
      <c r="F17" s="4" t="n">
        <v>20600</v>
      </c>
      <c r="G17" s="4" t="n">
        <v>150</v>
      </c>
      <c r="H17" s="5" t="n">
        <v>46661</v>
      </c>
      <c r="I17" s="1" t="str">
        <v>ACTIVE</v>
      </c>
      <c r="J17" s="4" t="n">
        <f>MAX(E17-F17,0)</f>
        <v>79400</v>
      </c>
      <c r="K17" s="6" t="n">
        <f>F17/E17</f>
        <v>0.206</v>
      </c>
    </row>
    <row r="18" ht="23" customHeight="1">
      <c r="A18" s="1" t="str">
        <v>G0017</v>
      </c>
      <c r="B18" s="1" t="str">
        <v>U006</v>
      </c>
      <c r="C18" s="1" t="str">
        <v>EMERGENCY</v>
      </c>
      <c r="D18" s="1" t="str">
        <v>emergency goal 6</v>
      </c>
      <c r="E18" s="4" t="n">
        <v>15000</v>
      </c>
      <c r="F18" s="4" t="n">
        <v>5600</v>
      </c>
      <c r="G18" s="4" t="n">
        <v>300</v>
      </c>
      <c r="H18" s="5" t="n">
        <v>47026</v>
      </c>
      <c r="I18" s="1" t="str">
        <v>ACTIVE</v>
      </c>
      <c r="J18" s="4" t="n">
        <f>MAX(E18-F18,0)</f>
        <v>9400</v>
      </c>
      <c r="K18" s="6" t="n">
        <f>F18/E18</f>
        <v>0.37333333333333335</v>
      </c>
    </row>
    <row r="19" ht="23" customHeight="1">
      <c r="A19" s="1" t="str">
        <v>G0018</v>
      </c>
      <c r="B19" s="1" t="str">
        <v>U006</v>
      </c>
      <c r="C19" s="1" t="str">
        <v>COLLEGE</v>
      </c>
      <c r="D19" s="1" t="str">
        <v>college goal 6</v>
      </c>
      <c r="E19" s="4" t="n">
        <v>40000</v>
      </c>
      <c r="F19" s="4" t="n">
        <v>10600</v>
      </c>
      <c r="G19" s="4" t="n">
        <v>450</v>
      </c>
      <c r="H19" s="5" t="n">
        <v>47391</v>
      </c>
      <c r="I19" s="1" t="str">
        <v>ACTIVE</v>
      </c>
      <c r="J19" s="4" t="n">
        <f>MAX(E19-F19,0)</f>
        <v>29400</v>
      </c>
      <c r="K19" s="6" t="n">
        <f>F19/E19</f>
        <v>0.265</v>
      </c>
    </row>
    <row r="20" ht="23" customHeight="1">
      <c r="A20" s="1" t="str">
        <v>G0019</v>
      </c>
      <c r="B20" s="1" t="str">
        <v>U007</v>
      </c>
      <c r="C20" s="1" t="str">
        <v>RETIREMENT</v>
      </c>
      <c r="D20" s="1" t="str">
        <v>retirement goal 7</v>
      </c>
      <c r="E20" s="4" t="n">
        <v>100000</v>
      </c>
      <c r="F20" s="4" t="n">
        <v>20700</v>
      </c>
      <c r="G20" s="4" t="n">
        <v>150</v>
      </c>
      <c r="H20" s="5" t="n">
        <v>46661</v>
      </c>
      <c r="I20" s="1" t="str">
        <v>ACTIVE</v>
      </c>
      <c r="J20" s="4" t="n">
        <f>MAX(E20-F20,0)</f>
        <v>79300</v>
      </c>
      <c r="K20" s="6" t="n">
        <f>F20/E20</f>
        <v>0.207</v>
      </c>
    </row>
    <row r="21" ht="23" customHeight="1">
      <c r="A21" s="1" t="str">
        <v>G0020</v>
      </c>
      <c r="B21" s="1" t="str">
        <v>U007</v>
      </c>
      <c r="C21" s="1" t="str">
        <v>EMERGENCY</v>
      </c>
      <c r="D21" s="1" t="str">
        <v>emergency goal 7</v>
      </c>
      <c r="E21" s="4" t="n">
        <v>15000</v>
      </c>
      <c r="F21" s="4" t="n">
        <v>5700</v>
      </c>
      <c r="G21" s="4" t="n">
        <v>300</v>
      </c>
      <c r="H21" s="5" t="n">
        <v>47026</v>
      </c>
      <c r="I21" s="1" t="str">
        <v>ACTIVE</v>
      </c>
      <c r="J21" s="4" t="n">
        <f>MAX(E21-F21,0)</f>
        <v>9300</v>
      </c>
      <c r="K21" s="6" t="n">
        <f>F21/E21</f>
        <v>0.38</v>
      </c>
    </row>
    <row r="22" ht="23" customHeight="1">
      <c r="A22" s="1" t="str">
        <v>G0021</v>
      </c>
      <c r="B22" s="1" t="str">
        <v>U007</v>
      </c>
      <c r="C22" s="1" t="str">
        <v>COLLEGE</v>
      </c>
      <c r="D22" s="1" t="str">
        <v>college goal 7</v>
      </c>
      <c r="E22" s="4" t="n">
        <v>40000</v>
      </c>
      <c r="F22" s="4" t="n">
        <v>10700</v>
      </c>
      <c r="G22" s="4" t="n">
        <v>450</v>
      </c>
      <c r="H22" s="5" t="n">
        <v>47391</v>
      </c>
      <c r="I22" s="1" t="str">
        <v>ACTIVE</v>
      </c>
      <c r="J22" s="4" t="n">
        <f>MAX(E22-F22,0)</f>
        <v>29300</v>
      </c>
      <c r="K22" s="6" t="n">
        <f>F22/E22</f>
        <v>0.2675</v>
      </c>
    </row>
    <row r="23" ht="23" customHeight="1">
      <c r="A23" s="1" t="str">
        <v>G0022</v>
      </c>
      <c r="B23" s="1" t="str">
        <v>U008</v>
      </c>
      <c r="C23" s="1" t="str">
        <v>RETIREMENT</v>
      </c>
      <c r="D23" s="1" t="str">
        <v>retirement goal 8</v>
      </c>
      <c r="E23" s="4" t="n">
        <v>100000</v>
      </c>
      <c r="F23" s="4" t="n">
        <v>20800</v>
      </c>
      <c r="G23" s="4" t="n">
        <v>150</v>
      </c>
      <c r="H23" s="5" t="n">
        <v>46661</v>
      </c>
      <c r="I23" s="1" t="str">
        <v>ACTIVE</v>
      </c>
      <c r="J23" s="4" t="n">
        <f>MAX(E23-F23,0)</f>
        <v>79200</v>
      </c>
      <c r="K23" s="6" t="n">
        <f>F23/E23</f>
        <v>0.208</v>
      </c>
    </row>
    <row r="24" ht="23" customHeight="1">
      <c r="A24" s="1" t="str">
        <v>G0023</v>
      </c>
      <c r="B24" s="1" t="str">
        <v>U008</v>
      </c>
      <c r="C24" s="1" t="str">
        <v>EMERGENCY</v>
      </c>
      <c r="D24" s="1" t="str">
        <v>emergency goal 8</v>
      </c>
      <c r="E24" s="4" t="n">
        <v>15000</v>
      </c>
      <c r="F24" s="4" t="n">
        <v>5800</v>
      </c>
      <c r="G24" s="4" t="n">
        <v>300</v>
      </c>
      <c r="H24" s="5" t="n">
        <v>47026</v>
      </c>
      <c r="I24" s="1" t="str">
        <v>ACTIVE</v>
      </c>
      <c r="J24" s="4" t="n">
        <f>MAX(E24-F24,0)</f>
        <v>9200</v>
      </c>
      <c r="K24" s="6" t="n">
        <f>F24/E24</f>
        <v>0.38666666666666666</v>
      </c>
    </row>
    <row r="25" ht="23" customHeight="1">
      <c r="A25" s="1" t="str">
        <v>G0024</v>
      </c>
      <c r="B25" s="1" t="str">
        <v>U008</v>
      </c>
      <c r="C25" s="1" t="str">
        <v>COLLEGE</v>
      </c>
      <c r="D25" s="1" t="str">
        <v>college goal 8</v>
      </c>
      <c r="E25" s="4" t="n">
        <v>40000</v>
      </c>
      <c r="F25" s="4" t="n">
        <v>10800</v>
      </c>
      <c r="G25" s="4" t="n">
        <v>450</v>
      </c>
      <c r="H25" s="5" t="n">
        <v>47391</v>
      </c>
      <c r="I25" s="1" t="str">
        <v>ACTIVE</v>
      </c>
      <c r="J25" s="4" t="n">
        <f>MAX(E25-F25,0)</f>
        <v>29200</v>
      </c>
      <c r="K25" s="6" t="n">
        <f>F25/E25</f>
        <v>0.27</v>
      </c>
    </row>
    <row r="26" ht="23" customHeight="1">
      <c r="A26" s="1" t="str">
        <v>G0025</v>
      </c>
      <c r="B26" s="1" t="str">
        <v>U009</v>
      </c>
      <c r="C26" s="1" t="str">
        <v>RETIREMENT</v>
      </c>
      <c r="D26" s="1" t="str">
        <v>retirement goal 9</v>
      </c>
      <c r="E26" s="4" t="n">
        <v>100000</v>
      </c>
      <c r="F26" s="4" t="n">
        <v>20900</v>
      </c>
      <c r="G26" s="4" t="n">
        <v>150</v>
      </c>
      <c r="H26" s="5" t="n">
        <v>46661</v>
      </c>
      <c r="I26" s="1" t="str">
        <v>ACTIVE</v>
      </c>
      <c r="J26" s="4" t="n">
        <f>MAX(E26-F26,0)</f>
        <v>79100</v>
      </c>
      <c r="K26" s="6" t="n">
        <f>F26/E26</f>
        <v>0.209</v>
      </c>
    </row>
    <row r="27" ht="23" customHeight="1">
      <c r="A27" s="1" t="str">
        <v>G0026</v>
      </c>
      <c r="B27" s="1" t="str">
        <v>U009</v>
      </c>
      <c r="C27" s="1" t="str">
        <v>EMERGENCY</v>
      </c>
      <c r="D27" s="1" t="str">
        <v>emergency goal 9</v>
      </c>
      <c r="E27" s="4" t="n">
        <v>15000</v>
      </c>
      <c r="F27" s="4" t="n">
        <v>5900</v>
      </c>
      <c r="G27" s="4" t="n">
        <v>300</v>
      </c>
      <c r="H27" s="5" t="n">
        <v>47026</v>
      </c>
      <c r="I27" s="1" t="str">
        <v>ACTIVE</v>
      </c>
      <c r="J27" s="4" t="n">
        <f>MAX(E27-F27,0)</f>
        <v>9100</v>
      </c>
      <c r="K27" s="6" t="n">
        <f>F27/E27</f>
        <v>0.3933333333333333</v>
      </c>
    </row>
    <row r="28" ht="23" customHeight="1">
      <c r="A28" s="1" t="str">
        <v>G0027</v>
      </c>
      <c r="B28" s="1" t="str">
        <v>U009</v>
      </c>
      <c r="C28" s="1" t="str">
        <v>COLLEGE</v>
      </c>
      <c r="D28" s="1" t="str">
        <v>college goal 9</v>
      </c>
      <c r="E28" s="4" t="n">
        <v>40000</v>
      </c>
      <c r="F28" s="4" t="n">
        <v>10900</v>
      </c>
      <c r="G28" s="4" t="n">
        <v>450</v>
      </c>
      <c r="H28" s="5" t="n">
        <v>47391</v>
      </c>
      <c r="I28" s="1" t="str">
        <v>ACTIVE</v>
      </c>
      <c r="J28" s="4" t="n">
        <f>MAX(E28-F28,0)</f>
        <v>29100</v>
      </c>
      <c r="K28" s="6" t="n">
        <f>F28/E28</f>
        <v>0.2725</v>
      </c>
    </row>
    <row r="29" ht="23" customHeight="1">
      <c r="A29" s="1" t="str">
        <v>G0028</v>
      </c>
      <c r="B29" s="1" t="str">
        <v>U010</v>
      </c>
      <c r="C29" s="1" t="str">
        <v>RETIREMENT</v>
      </c>
      <c r="D29" s="1" t="str">
        <v>retirement goal 10</v>
      </c>
      <c r="E29" s="4" t="n">
        <v>100000</v>
      </c>
      <c r="F29" s="4" t="n">
        <v>21000</v>
      </c>
      <c r="G29" s="4" t="n">
        <v>150</v>
      </c>
      <c r="H29" s="5" t="n">
        <v>46661</v>
      </c>
      <c r="I29" s="1" t="str">
        <v>ACTIVE</v>
      </c>
      <c r="J29" s="4" t="n">
        <f>MAX(E29-F29,0)</f>
        <v>79000</v>
      </c>
      <c r="K29" s="6" t="n">
        <f>F29/E29</f>
        <v>0.21</v>
      </c>
    </row>
    <row r="30" ht="23" customHeight="1">
      <c r="A30" s="1" t="str">
        <v>G0029</v>
      </c>
      <c r="B30" s="1" t="str">
        <v>U010</v>
      </c>
      <c r="C30" s="1" t="str">
        <v>EMERGENCY</v>
      </c>
      <c r="D30" s="1" t="str">
        <v>emergency goal 10</v>
      </c>
      <c r="E30" s="4" t="n">
        <v>15000</v>
      </c>
      <c r="F30" s="4" t="n">
        <v>6000</v>
      </c>
      <c r="G30" s="4" t="n">
        <v>300</v>
      </c>
      <c r="H30" s="5" t="n">
        <v>47026</v>
      </c>
      <c r="I30" s="1" t="str">
        <v>ACTIVE</v>
      </c>
      <c r="J30" s="4" t="n">
        <f>MAX(E30-F30,0)</f>
        <v>9000</v>
      </c>
      <c r="K30" s="6" t="n">
        <f>F30/E30</f>
        <v>0.4</v>
      </c>
    </row>
    <row r="31" ht="23" customHeight="1">
      <c r="A31" s="1" t="str">
        <v>G0030</v>
      </c>
      <c r="B31" s="1" t="str">
        <v>U010</v>
      </c>
      <c r="C31" s="1" t="str">
        <v>COLLEGE</v>
      </c>
      <c r="D31" s="1" t="str">
        <v>college goal 10</v>
      </c>
      <c r="E31" s="4" t="n">
        <v>40000</v>
      </c>
      <c r="F31" s="4" t="n">
        <v>11000</v>
      </c>
      <c r="G31" s="4" t="n">
        <v>450</v>
      </c>
      <c r="H31" s="5" t="n">
        <v>47391</v>
      </c>
      <c r="I31" s="1" t="str">
        <v>ACTIVE</v>
      </c>
      <c r="J31" s="4" t="n">
        <f>MAX(E31-F31,0)</f>
        <v>29000</v>
      </c>
      <c r="K31" s="6" t="n">
        <f>F31/E31</f>
        <v>0.275</v>
      </c>
    </row>
    <row r="32" ht="23" customHeight="1">
      <c r="A32" s="1" t="str">
        <v>G0031</v>
      </c>
      <c r="B32" s="1" t="str">
        <v>U011</v>
      </c>
      <c r="C32" s="1" t="str">
        <v>RETIREMENT</v>
      </c>
      <c r="D32" s="1" t="str">
        <v>retirement goal 11</v>
      </c>
      <c r="E32" s="4" t="n">
        <v>100000</v>
      </c>
      <c r="F32" s="4" t="n">
        <v>21100</v>
      </c>
      <c r="G32" s="4" t="n">
        <v>150</v>
      </c>
      <c r="H32" s="5" t="n">
        <v>46661</v>
      </c>
      <c r="I32" s="1" t="str">
        <v>ACTIVE</v>
      </c>
      <c r="J32" s="4" t="n">
        <f>MAX(E32-F32,0)</f>
        <v>78900</v>
      </c>
      <c r="K32" s="6" t="n">
        <f>F32/E32</f>
        <v>0.211</v>
      </c>
    </row>
    <row r="33" ht="23" customHeight="1">
      <c r="A33" s="1" t="str">
        <v>G0032</v>
      </c>
      <c r="B33" s="1" t="str">
        <v>U011</v>
      </c>
      <c r="C33" s="1" t="str">
        <v>EMERGENCY</v>
      </c>
      <c r="D33" s="1" t="str">
        <v>emergency goal 11</v>
      </c>
      <c r="E33" s="4" t="n">
        <v>15000</v>
      </c>
      <c r="F33" s="4" t="n">
        <v>6100</v>
      </c>
      <c r="G33" s="4" t="n">
        <v>300</v>
      </c>
      <c r="H33" s="5" t="n">
        <v>47026</v>
      </c>
      <c r="I33" s="1" t="str">
        <v>ACTIVE</v>
      </c>
      <c r="J33" s="4" t="n">
        <f>MAX(E33-F33,0)</f>
        <v>8900</v>
      </c>
      <c r="K33" s="6" t="n">
        <f>F33/E33</f>
        <v>0.4066666666666667</v>
      </c>
    </row>
    <row r="34" ht="23" customHeight="1">
      <c r="A34" s="1" t="str">
        <v>G0033</v>
      </c>
      <c r="B34" s="1" t="str">
        <v>U011</v>
      </c>
      <c r="C34" s="1" t="str">
        <v>COLLEGE</v>
      </c>
      <c r="D34" s="1" t="str">
        <v>college goal 11</v>
      </c>
      <c r="E34" s="4" t="n">
        <v>40000</v>
      </c>
      <c r="F34" s="4" t="n">
        <v>11100</v>
      </c>
      <c r="G34" s="4" t="n">
        <v>450</v>
      </c>
      <c r="H34" s="5" t="n">
        <v>47391</v>
      </c>
      <c r="I34" s="1" t="str">
        <v>ACTIVE</v>
      </c>
      <c r="J34" s="4" t="n">
        <f>MAX(E34-F34,0)</f>
        <v>28900</v>
      </c>
      <c r="K34" s="6" t="n">
        <f>F34/E34</f>
        <v>0.2775</v>
      </c>
    </row>
    <row r="35" ht="23" customHeight="1">
      <c r="A35" s="1" t="str">
        <v>G0034</v>
      </c>
      <c r="B35" s="1" t="str">
        <v>U012</v>
      </c>
      <c r="C35" s="1" t="str">
        <v>RETIREMENT</v>
      </c>
      <c r="D35" s="1" t="str">
        <v>retirement goal 12</v>
      </c>
      <c r="E35" s="4" t="n">
        <v>100000</v>
      </c>
      <c r="F35" s="4" t="n">
        <v>21200</v>
      </c>
      <c r="G35" s="4" t="n">
        <v>150</v>
      </c>
      <c r="H35" s="5" t="n">
        <v>46661</v>
      </c>
      <c r="I35" s="1" t="str">
        <v>ACTIVE</v>
      </c>
      <c r="J35" s="4" t="n">
        <f>MAX(E35-F35,0)</f>
        <v>78800</v>
      </c>
      <c r="K35" s="6" t="n">
        <f>F35/E35</f>
        <v>0.212</v>
      </c>
    </row>
    <row r="36" ht="23" customHeight="1">
      <c r="A36" s="1" t="str">
        <v>G0035</v>
      </c>
      <c r="B36" s="1" t="str">
        <v>U012</v>
      </c>
      <c r="C36" s="1" t="str">
        <v>EMERGENCY</v>
      </c>
      <c r="D36" s="1" t="str">
        <v>emergency goal 12</v>
      </c>
      <c r="E36" s="4" t="n">
        <v>15000</v>
      </c>
      <c r="F36" s="4" t="n">
        <v>6200</v>
      </c>
      <c r="G36" s="4" t="n">
        <v>300</v>
      </c>
      <c r="H36" s="5" t="n">
        <v>47026</v>
      </c>
      <c r="I36" s="1" t="str">
        <v>ACTIVE</v>
      </c>
      <c r="J36" s="4" t="n">
        <f>MAX(E36-F36,0)</f>
        <v>8800</v>
      </c>
      <c r="K36" s="6" t="n">
        <f>F36/E36</f>
        <v>0.41333333333333333</v>
      </c>
    </row>
    <row r="37" ht="23" customHeight="1">
      <c r="A37" s="1" t="str">
        <v>G0036</v>
      </c>
      <c r="B37" s="1" t="str">
        <v>U012</v>
      </c>
      <c r="C37" s="1" t="str">
        <v>COLLEGE</v>
      </c>
      <c r="D37" s="1" t="str">
        <v>college goal 12</v>
      </c>
      <c r="E37" s="4" t="n">
        <v>40000</v>
      </c>
      <c r="F37" s="4" t="n">
        <v>11200</v>
      </c>
      <c r="G37" s="4" t="n">
        <v>450</v>
      </c>
      <c r="H37" s="5" t="n">
        <v>47391</v>
      </c>
      <c r="I37" s="1" t="str">
        <v>ACTIVE</v>
      </c>
      <c r="J37" s="4" t="n">
        <f>MAX(E37-F37,0)</f>
        <v>28800</v>
      </c>
      <c r="K37" s="6" t="n">
        <f>F37/E37</f>
        <v>0.28</v>
      </c>
    </row>
    <row r="38" ht="23" customHeight="1">
      <c r="A38" s="1" t="str">
        <v>G0037</v>
      </c>
      <c r="B38" s="1" t="str">
        <v>U013</v>
      </c>
      <c r="C38" s="1" t="str">
        <v>RETIREMENT</v>
      </c>
      <c r="D38" s="1" t="str">
        <v>retirement goal 13</v>
      </c>
      <c r="E38" s="4" t="n">
        <v>100000</v>
      </c>
      <c r="F38" s="4" t="n">
        <v>21300</v>
      </c>
      <c r="G38" s="4" t="n">
        <v>150</v>
      </c>
      <c r="H38" s="5" t="n">
        <v>46661</v>
      </c>
      <c r="I38" s="1" t="str">
        <v>ACTIVE</v>
      </c>
      <c r="J38" s="4" t="n">
        <f>MAX(E38-F38,0)</f>
        <v>78700</v>
      </c>
      <c r="K38" s="6" t="n">
        <f>F38/E38</f>
        <v>0.213</v>
      </c>
    </row>
    <row r="39" ht="23" customHeight="1">
      <c r="A39" s="1" t="str">
        <v>G0038</v>
      </c>
      <c r="B39" s="1" t="str">
        <v>U013</v>
      </c>
      <c r="C39" s="1" t="str">
        <v>EMERGENCY</v>
      </c>
      <c r="D39" s="1" t="str">
        <v>emergency goal 13</v>
      </c>
      <c r="E39" s="4" t="n">
        <v>15000</v>
      </c>
      <c r="F39" s="4" t="n">
        <v>6300</v>
      </c>
      <c r="G39" s="4" t="n">
        <v>300</v>
      </c>
      <c r="H39" s="5" t="n">
        <v>47026</v>
      </c>
      <c r="I39" s="1" t="str">
        <v>ACTIVE</v>
      </c>
      <c r="J39" s="4" t="n">
        <f>MAX(E39-F39,0)</f>
        <v>8700</v>
      </c>
      <c r="K39" s="6" t="n">
        <f>F39/E39</f>
        <v>0.42</v>
      </c>
    </row>
    <row r="40" ht="23" customHeight="1">
      <c r="A40" s="1" t="str">
        <v>G0039</v>
      </c>
      <c r="B40" s="1" t="str">
        <v>U013</v>
      </c>
      <c r="C40" s="1" t="str">
        <v>COLLEGE</v>
      </c>
      <c r="D40" s="1" t="str">
        <v>college goal 13</v>
      </c>
      <c r="E40" s="4" t="n">
        <v>40000</v>
      </c>
      <c r="F40" s="4" t="n">
        <v>11300</v>
      </c>
      <c r="G40" s="4" t="n">
        <v>450</v>
      </c>
      <c r="H40" s="5" t="n">
        <v>47391</v>
      </c>
      <c r="I40" s="1" t="str">
        <v>ACTIVE</v>
      </c>
      <c r="J40" s="4" t="n">
        <f>MAX(E40-F40,0)</f>
        <v>28700</v>
      </c>
      <c r="K40" s="6" t="n">
        <f>F40/E40</f>
        <v>0.2825</v>
      </c>
    </row>
    <row r="41" ht="23" customHeight="1">
      <c r="A41" s="1" t="str">
        <v>G0040</v>
      </c>
      <c r="B41" s="1" t="str">
        <v>U014</v>
      </c>
      <c r="C41" s="1" t="str">
        <v>RETIREMENT</v>
      </c>
      <c r="D41" s="1" t="str">
        <v>retirement goal 14</v>
      </c>
      <c r="E41" s="4" t="n">
        <v>100000</v>
      </c>
      <c r="F41" s="4" t="n">
        <v>21400</v>
      </c>
      <c r="G41" s="4" t="n">
        <v>150</v>
      </c>
      <c r="H41" s="5" t="n">
        <v>46661</v>
      </c>
      <c r="I41" s="1" t="str">
        <v>ACTIVE</v>
      </c>
      <c r="J41" s="4" t="n">
        <f>MAX(E41-F41,0)</f>
        <v>78600</v>
      </c>
      <c r="K41" s="6" t="n">
        <f>F41/E41</f>
        <v>0.214</v>
      </c>
    </row>
    <row r="42" ht="23" customHeight="1">
      <c r="A42" s="1" t="str">
        <v>G0041</v>
      </c>
      <c r="B42" s="1" t="str">
        <v>U014</v>
      </c>
      <c r="C42" s="1" t="str">
        <v>EMERGENCY</v>
      </c>
      <c r="D42" s="1" t="str">
        <v>emergency goal 14</v>
      </c>
      <c r="E42" s="4" t="n">
        <v>15000</v>
      </c>
      <c r="F42" s="4" t="n">
        <v>6400</v>
      </c>
      <c r="G42" s="4" t="n">
        <v>300</v>
      </c>
      <c r="H42" s="5" t="n">
        <v>47026</v>
      </c>
      <c r="I42" s="1" t="str">
        <v>ACTIVE</v>
      </c>
      <c r="J42" s="4" t="n">
        <f>MAX(E42-F42,0)</f>
        <v>8600</v>
      </c>
      <c r="K42" s="6" t="n">
        <f>F42/E42</f>
        <v>0.4266666666666667</v>
      </c>
    </row>
    <row r="43" ht="23" customHeight="1">
      <c r="A43" s="1" t="str">
        <v>G0042</v>
      </c>
      <c r="B43" s="1" t="str">
        <v>U014</v>
      </c>
      <c r="C43" s="1" t="str">
        <v>COLLEGE</v>
      </c>
      <c r="D43" s="1" t="str">
        <v>college goal 14</v>
      </c>
      <c r="E43" s="4" t="n">
        <v>40000</v>
      </c>
      <c r="F43" s="4" t="n">
        <v>11400</v>
      </c>
      <c r="G43" s="4" t="n">
        <v>450</v>
      </c>
      <c r="H43" s="5" t="n">
        <v>47391</v>
      </c>
      <c r="I43" s="1" t="str">
        <v>ACTIVE</v>
      </c>
      <c r="J43" s="4" t="n">
        <f>MAX(E43-F43,0)</f>
        <v>28600</v>
      </c>
      <c r="K43" s="6" t="n">
        <f>F43/E43</f>
        <v>0.285</v>
      </c>
    </row>
    <row r="44" ht="23" customHeight="1">
      <c r="A44" s="1" t="str">
        <v>G0043</v>
      </c>
      <c r="B44" s="1" t="str">
        <v>U015</v>
      </c>
      <c r="C44" s="1" t="str">
        <v>RETIREMENT</v>
      </c>
      <c r="D44" s="1" t="str">
        <v>retirement goal 15</v>
      </c>
      <c r="E44" s="4" t="n">
        <v>100000</v>
      </c>
      <c r="F44" s="4" t="n">
        <v>21500</v>
      </c>
      <c r="G44" s="4" t="n">
        <v>150</v>
      </c>
      <c r="H44" s="5" t="n">
        <v>46661</v>
      </c>
      <c r="I44" s="1" t="str">
        <v>ACTIVE</v>
      </c>
      <c r="J44" s="4" t="n">
        <f>MAX(E44-F44,0)</f>
        <v>78500</v>
      </c>
      <c r="K44" s="6" t="n">
        <f>F44/E44</f>
        <v>0.215</v>
      </c>
    </row>
    <row r="45" ht="23" customHeight="1">
      <c r="A45" s="1" t="str">
        <v>G0044</v>
      </c>
      <c r="B45" s="1" t="str">
        <v>U015</v>
      </c>
      <c r="C45" s="1" t="str">
        <v>EMERGENCY</v>
      </c>
      <c r="D45" s="1" t="str">
        <v>emergency goal 15</v>
      </c>
      <c r="E45" s="4" t="n">
        <v>15000</v>
      </c>
      <c r="F45" s="4" t="n">
        <v>6500</v>
      </c>
      <c r="G45" s="4" t="n">
        <v>300</v>
      </c>
      <c r="H45" s="5" t="n">
        <v>47026</v>
      </c>
      <c r="I45" s="1" t="str">
        <v>ACTIVE</v>
      </c>
      <c r="J45" s="4" t="n">
        <f>MAX(E45-F45,0)</f>
        <v>8500</v>
      </c>
      <c r="K45" s="6" t="n">
        <f>F45/E45</f>
        <v>0.43333333333333335</v>
      </c>
    </row>
    <row r="46" ht="23" customHeight="1">
      <c r="A46" s="1" t="str">
        <v>G0045</v>
      </c>
      <c r="B46" s="1" t="str">
        <v>U015</v>
      </c>
      <c r="C46" s="1" t="str">
        <v>COLLEGE</v>
      </c>
      <c r="D46" s="1" t="str">
        <v>college goal 15</v>
      </c>
      <c r="E46" s="4" t="n">
        <v>40000</v>
      </c>
      <c r="F46" s="4" t="n">
        <v>11500</v>
      </c>
      <c r="G46" s="4" t="n">
        <v>450</v>
      </c>
      <c r="H46" s="5" t="n">
        <v>47391</v>
      </c>
      <c r="I46" s="1" t="str">
        <v>ACTIVE</v>
      </c>
      <c r="J46" s="4" t="n">
        <f>MAX(E46-F46,0)</f>
        <v>28500</v>
      </c>
      <c r="K46" s="6" t="n">
        <f>F46/E46</f>
        <v>0.2875</v>
      </c>
    </row>
    <row r="47" ht="23" customHeight="1">
      <c r="A47" s="1" t="str">
        <v>G0046</v>
      </c>
      <c r="B47" s="1" t="str">
        <v>U016</v>
      </c>
      <c r="C47" s="1" t="str">
        <v>RETIREMENT</v>
      </c>
      <c r="D47" s="1" t="str">
        <v>retirement goal 16</v>
      </c>
      <c r="E47" s="4" t="n">
        <v>100000</v>
      </c>
      <c r="F47" s="4" t="n">
        <v>21600</v>
      </c>
      <c r="G47" s="4" t="n">
        <v>150</v>
      </c>
      <c r="H47" s="5" t="n">
        <v>46661</v>
      </c>
      <c r="I47" s="1" t="str">
        <v>ACTIVE</v>
      </c>
      <c r="J47" s="4" t="n">
        <f>MAX(E47-F47,0)</f>
        <v>78400</v>
      </c>
      <c r="K47" s="6" t="n">
        <f>F47/E47</f>
        <v>0.216</v>
      </c>
    </row>
    <row r="48" ht="23" customHeight="1">
      <c r="A48" s="1" t="str">
        <v>G0047</v>
      </c>
      <c r="B48" s="1" t="str">
        <v>U016</v>
      </c>
      <c r="C48" s="1" t="str">
        <v>EMERGENCY</v>
      </c>
      <c r="D48" s="1" t="str">
        <v>emergency goal 16</v>
      </c>
      <c r="E48" s="4" t="n">
        <v>15000</v>
      </c>
      <c r="F48" s="4" t="n">
        <v>6600</v>
      </c>
      <c r="G48" s="4" t="n">
        <v>300</v>
      </c>
      <c r="H48" s="5" t="n">
        <v>47026</v>
      </c>
      <c r="I48" s="1" t="str">
        <v>ACTIVE</v>
      </c>
      <c r="J48" s="4" t="n">
        <f>MAX(E48-F48,0)</f>
        <v>8400</v>
      </c>
      <c r="K48" s="6" t="n">
        <f>F48/E48</f>
        <v>0.44</v>
      </c>
    </row>
    <row r="49" ht="23" customHeight="1">
      <c r="A49" s="1" t="str">
        <v>G0048</v>
      </c>
      <c r="B49" s="1" t="str">
        <v>U016</v>
      </c>
      <c r="C49" s="1" t="str">
        <v>COLLEGE</v>
      </c>
      <c r="D49" s="1" t="str">
        <v>college goal 16</v>
      </c>
      <c r="E49" s="4" t="n">
        <v>40000</v>
      </c>
      <c r="F49" s="4" t="n">
        <v>11600</v>
      </c>
      <c r="G49" s="4" t="n">
        <v>450</v>
      </c>
      <c r="H49" s="5" t="n">
        <v>47391</v>
      </c>
      <c r="I49" s="1" t="str">
        <v>ACTIVE</v>
      </c>
      <c r="J49" s="4" t="n">
        <f>MAX(E49-F49,0)</f>
        <v>28400</v>
      </c>
      <c r="K49" s="6" t="n">
        <f>F49/E49</f>
        <v>0.29</v>
      </c>
    </row>
    <row r="50" ht="23" customHeight="1">
      <c r="A50" s="1" t="str">
        <v>G0049</v>
      </c>
      <c r="B50" s="1" t="str">
        <v>U017</v>
      </c>
      <c r="C50" s="1" t="str">
        <v>RETIREMENT</v>
      </c>
      <c r="D50" s="1" t="str">
        <v>retirement goal 17</v>
      </c>
      <c r="E50" s="4" t="n">
        <v>100000</v>
      </c>
      <c r="F50" s="4" t="n">
        <v>21700</v>
      </c>
      <c r="G50" s="4" t="n">
        <v>150</v>
      </c>
      <c r="H50" s="5" t="n">
        <v>46661</v>
      </c>
      <c r="I50" s="1" t="str">
        <v>ACTIVE</v>
      </c>
      <c r="J50" s="4" t="n">
        <f>MAX(E50-F50,0)</f>
        <v>78300</v>
      </c>
      <c r="K50" s="6" t="n">
        <f>F50/E50</f>
        <v>0.217</v>
      </c>
    </row>
    <row r="51" ht="23" customHeight="1">
      <c r="A51" s="1" t="str">
        <v>G0050</v>
      </c>
      <c r="B51" s="1" t="str">
        <v>U017</v>
      </c>
      <c r="C51" s="1" t="str">
        <v>EMERGENCY</v>
      </c>
      <c r="D51" s="1" t="str">
        <v>emergency goal 17</v>
      </c>
      <c r="E51" s="4" t="n">
        <v>15000</v>
      </c>
      <c r="F51" s="4" t="n">
        <v>6700</v>
      </c>
      <c r="G51" s="4" t="n">
        <v>300</v>
      </c>
      <c r="H51" s="5" t="n">
        <v>47026</v>
      </c>
      <c r="I51" s="1" t="str">
        <v>ACTIVE</v>
      </c>
      <c r="J51" s="4" t="n">
        <f>MAX(E51-F51,0)</f>
        <v>8300</v>
      </c>
      <c r="K51" s="6" t="n">
        <f>F51/E51</f>
        <v>0.44666666666666666</v>
      </c>
    </row>
    <row r="52" ht="23" customHeight="1">
      <c r="A52" s="1" t="str">
        <v>G0051</v>
      </c>
      <c r="B52" s="1" t="str">
        <v>U017</v>
      </c>
      <c r="C52" s="1" t="str">
        <v>COLLEGE</v>
      </c>
      <c r="D52" s="1" t="str">
        <v>college goal 17</v>
      </c>
      <c r="E52" s="4" t="n">
        <v>40000</v>
      </c>
      <c r="F52" s="4" t="n">
        <v>11700</v>
      </c>
      <c r="G52" s="4" t="n">
        <v>450</v>
      </c>
      <c r="H52" s="5" t="n">
        <v>47391</v>
      </c>
      <c r="I52" s="1" t="str">
        <v>ACTIVE</v>
      </c>
      <c r="J52" s="4" t="n">
        <f>MAX(E52-F52,0)</f>
        <v>28300</v>
      </c>
      <c r="K52" s="6" t="n">
        <f>F52/E52</f>
        <v>0.2925</v>
      </c>
    </row>
    <row r="53" ht="23" customHeight="1">
      <c r="A53" s="1" t="str">
        <v>G0052</v>
      </c>
      <c r="B53" s="1" t="str">
        <v>U018</v>
      </c>
      <c r="C53" s="1" t="str">
        <v>RETIREMENT</v>
      </c>
      <c r="D53" s="1" t="str">
        <v>retirement goal 18</v>
      </c>
      <c r="E53" s="4" t="n">
        <v>100000</v>
      </c>
      <c r="F53" s="4" t="n">
        <v>21800</v>
      </c>
      <c r="G53" s="4" t="n">
        <v>150</v>
      </c>
      <c r="H53" s="5" t="n">
        <v>46661</v>
      </c>
      <c r="I53" s="1" t="str">
        <v>ACTIVE</v>
      </c>
      <c r="J53" s="4" t="n">
        <f>MAX(E53-F53,0)</f>
        <v>78200</v>
      </c>
      <c r="K53" s="6" t="n">
        <f>F53/E53</f>
        <v>0.218</v>
      </c>
    </row>
    <row r="54" ht="23" customHeight="1">
      <c r="A54" s="1" t="str">
        <v>G0053</v>
      </c>
      <c r="B54" s="1" t="str">
        <v>U018</v>
      </c>
      <c r="C54" s="1" t="str">
        <v>EMERGENCY</v>
      </c>
      <c r="D54" s="1" t="str">
        <v>emergency goal 18</v>
      </c>
      <c r="E54" s="4" t="n">
        <v>15000</v>
      </c>
      <c r="F54" s="4" t="n">
        <v>6800</v>
      </c>
      <c r="G54" s="4" t="n">
        <v>300</v>
      </c>
      <c r="H54" s="5" t="n">
        <v>47026</v>
      </c>
      <c r="I54" s="1" t="str">
        <v>ACTIVE</v>
      </c>
      <c r="J54" s="4" t="n">
        <f>MAX(E54-F54,0)</f>
        <v>8200</v>
      </c>
      <c r="K54" s="6" t="n">
        <f>F54/E54</f>
        <v>0.4533333333333333</v>
      </c>
    </row>
    <row r="55" ht="23" customHeight="1">
      <c r="A55" s="1" t="str">
        <v>G0054</v>
      </c>
      <c r="B55" s="1" t="str">
        <v>U018</v>
      </c>
      <c r="C55" s="1" t="str">
        <v>COLLEGE</v>
      </c>
      <c r="D55" s="1" t="str">
        <v>college goal 18</v>
      </c>
      <c r="E55" s="4" t="n">
        <v>40000</v>
      </c>
      <c r="F55" s="4" t="n">
        <v>11800</v>
      </c>
      <c r="G55" s="4" t="n">
        <v>450</v>
      </c>
      <c r="H55" s="5" t="n">
        <v>47391</v>
      </c>
      <c r="I55" s="1" t="str">
        <v>ACTIVE</v>
      </c>
      <c r="J55" s="4" t="n">
        <f>MAX(E55-F55,0)</f>
        <v>28200</v>
      </c>
      <c r="K55" s="6" t="n">
        <f>F55/E55</f>
        <v>0.295</v>
      </c>
    </row>
    <row r="56" ht="23" customHeight="1">
      <c r="A56" s="1" t="str">
        <v>G0055</v>
      </c>
      <c r="B56" s="1" t="str">
        <v>U019</v>
      </c>
      <c r="C56" s="1" t="str">
        <v>RETIREMENT</v>
      </c>
      <c r="D56" s="1" t="str">
        <v>retirement goal 19</v>
      </c>
      <c r="E56" s="4" t="n">
        <v>100000</v>
      </c>
      <c r="F56" s="4" t="n">
        <v>21900</v>
      </c>
      <c r="G56" s="4" t="n">
        <v>150</v>
      </c>
      <c r="H56" s="5" t="n">
        <v>46661</v>
      </c>
      <c r="I56" s="1" t="str">
        <v>ACTIVE</v>
      </c>
      <c r="J56" s="4" t="n">
        <f>MAX(E56-F56,0)</f>
        <v>78100</v>
      </c>
      <c r="K56" s="6" t="n">
        <f>F56/E56</f>
        <v>0.219</v>
      </c>
    </row>
    <row r="57" ht="23" customHeight="1">
      <c r="A57" s="1" t="str">
        <v>G0056</v>
      </c>
      <c r="B57" s="1" t="str">
        <v>U019</v>
      </c>
      <c r="C57" s="1" t="str">
        <v>EMERGENCY</v>
      </c>
      <c r="D57" s="1" t="str">
        <v>emergency goal 19</v>
      </c>
      <c r="E57" s="4" t="n">
        <v>15000</v>
      </c>
      <c r="F57" s="4" t="n">
        <v>6900</v>
      </c>
      <c r="G57" s="4" t="n">
        <v>300</v>
      </c>
      <c r="H57" s="5" t="n">
        <v>47026</v>
      </c>
      <c r="I57" s="1" t="str">
        <v>ACTIVE</v>
      </c>
      <c r="J57" s="4" t="n">
        <f>MAX(E57-F57,0)</f>
        <v>8100</v>
      </c>
      <c r="K57" s="6" t="n">
        <f>F57/E57</f>
        <v>0.46</v>
      </c>
    </row>
    <row r="58" ht="23" customHeight="1">
      <c r="A58" s="1" t="str">
        <v>G0057</v>
      </c>
      <c r="B58" s="1" t="str">
        <v>U019</v>
      </c>
      <c r="C58" s="1" t="str">
        <v>COLLEGE</v>
      </c>
      <c r="D58" s="1" t="str">
        <v>college goal 19</v>
      </c>
      <c r="E58" s="4" t="n">
        <v>40000</v>
      </c>
      <c r="F58" s="4" t="n">
        <v>11900</v>
      </c>
      <c r="G58" s="4" t="n">
        <v>450</v>
      </c>
      <c r="H58" s="5" t="n">
        <v>47391</v>
      </c>
      <c r="I58" s="1" t="str">
        <v>ACTIVE</v>
      </c>
      <c r="J58" s="4" t="n">
        <f>MAX(E58-F58,0)</f>
        <v>28100</v>
      </c>
      <c r="K58" s="6" t="n">
        <f>F58/E58</f>
        <v>0.2975</v>
      </c>
    </row>
    <row r="59" ht="23" customHeight="1">
      <c r="A59" s="1" t="str">
        <v>G0058</v>
      </c>
      <c r="B59" s="1" t="str">
        <v>U020</v>
      </c>
      <c r="C59" s="1" t="str">
        <v>RETIREMENT</v>
      </c>
      <c r="D59" s="1" t="str">
        <v>retirement goal 20</v>
      </c>
      <c r="E59" s="4" t="n">
        <v>100000</v>
      </c>
      <c r="F59" s="4" t="n">
        <v>22000</v>
      </c>
      <c r="G59" s="4" t="n">
        <v>150</v>
      </c>
      <c r="H59" s="5" t="n">
        <v>46661</v>
      </c>
      <c r="I59" s="1" t="str">
        <v>ACTIVE</v>
      </c>
      <c r="J59" s="4" t="n">
        <f>MAX(E59-F59,0)</f>
        <v>78000</v>
      </c>
      <c r="K59" s="6" t="n">
        <f>F59/E59</f>
        <v>0.22</v>
      </c>
    </row>
    <row r="60" ht="23" customHeight="1">
      <c r="A60" s="1" t="str">
        <v>G0059</v>
      </c>
      <c r="B60" s="1" t="str">
        <v>U020</v>
      </c>
      <c r="C60" s="1" t="str">
        <v>EMERGENCY</v>
      </c>
      <c r="D60" s="1" t="str">
        <v>emergency goal 20</v>
      </c>
      <c r="E60" s="4" t="n">
        <v>15000</v>
      </c>
      <c r="F60" s="4" t="n">
        <v>7000</v>
      </c>
      <c r="G60" s="4" t="n">
        <v>300</v>
      </c>
      <c r="H60" s="5" t="n">
        <v>47026</v>
      </c>
      <c r="I60" s="1" t="str">
        <v>ACTIVE</v>
      </c>
      <c r="J60" s="4" t="n">
        <f>MAX(E60-F60,0)</f>
        <v>8000</v>
      </c>
      <c r="K60" s="6" t="n">
        <f>F60/E60</f>
        <v>0.4666666666666667</v>
      </c>
    </row>
    <row r="61" ht="23" customHeight="1">
      <c r="A61" s="1" t="str">
        <v>G0060</v>
      </c>
      <c r="B61" s="1" t="str">
        <v>U020</v>
      </c>
      <c r="C61" s="1" t="str">
        <v>COLLEGE</v>
      </c>
      <c r="D61" s="1" t="str">
        <v>college goal 20</v>
      </c>
      <c r="E61" s="4" t="n">
        <v>40000</v>
      </c>
      <c r="F61" s="4" t="n">
        <v>12000</v>
      </c>
      <c r="G61" s="4" t="n">
        <v>450</v>
      </c>
      <c r="H61" s="5" t="n">
        <v>47391</v>
      </c>
      <c r="I61" s="1" t="str">
        <v>ACTIVE</v>
      </c>
      <c r="J61" s="4" t="n">
        <f>MAX(E61-F61,0)</f>
        <v>28000</v>
      </c>
      <c r="K61" s="6" t="n">
        <f>F61/E61</f>
        <v>0.3</v>
      </c>
    </row>
    <row r="62" ht="23" customHeight="1">
      <c r="A62" s="1" t="str">
        <v>G0061</v>
      </c>
      <c r="B62" s="1" t="str">
        <v>U021</v>
      </c>
      <c r="C62" s="1" t="str">
        <v>RETIREMENT</v>
      </c>
      <c r="D62" s="1" t="str">
        <v>retirement goal 21</v>
      </c>
      <c r="E62" s="4" t="n">
        <v>100000</v>
      </c>
      <c r="F62" s="4" t="n">
        <v>22100</v>
      </c>
      <c r="G62" s="4" t="n">
        <v>150</v>
      </c>
      <c r="H62" s="5" t="n">
        <v>46661</v>
      </c>
      <c r="I62" s="1" t="str">
        <v>ACTIVE</v>
      </c>
      <c r="J62" s="4" t="n">
        <f>MAX(E62-F62,0)</f>
        <v>77900</v>
      </c>
      <c r="K62" s="6" t="n">
        <f>F62/E62</f>
        <v>0.221</v>
      </c>
    </row>
    <row r="63" ht="23" customHeight="1">
      <c r="A63" s="1" t="str">
        <v>G0062</v>
      </c>
      <c r="B63" s="1" t="str">
        <v>U021</v>
      </c>
      <c r="C63" s="1" t="str">
        <v>EMERGENCY</v>
      </c>
      <c r="D63" s="1" t="str">
        <v>emergency goal 21</v>
      </c>
      <c r="E63" s="4" t="n">
        <v>15000</v>
      </c>
      <c r="F63" s="4" t="n">
        <v>7100</v>
      </c>
      <c r="G63" s="4" t="n">
        <v>300</v>
      </c>
      <c r="H63" s="5" t="n">
        <v>47026</v>
      </c>
      <c r="I63" s="1" t="str">
        <v>ACTIVE</v>
      </c>
      <c r="J63" s="4" t="n">
        <f>MAX(E63-F63,0)</f>
        <v>7900</v>
      </c>
      <c r="K63" s="6" t="n">
        <f>F63/E63</f>
        <v>0.47333333333333333</v>
      </c>
    </row>
    <row r="64" ht="23" customHeight="1">
      <c r="A64" s="1" t="str">
        <v>G0063</v>
      </c>
      <c r="B64" s="1" t="str">
        <v>U021</v>
      </c>
      <c r="C64" s="1" t="str">
        <v>COLLEGE</v>
      </c>
      <c r="D64" s="1" t="str">
        <v>college goal 21</v>
      </c>
      <c r="E64" s="4" t="n">
        <v>40000</v>
      </c>
      <c r="F64" s="4" t="n">
        <v>12100</v>
      </c>
      <c r="G64" s="4" t="n">
        <v>450</v>
      </c>
      <c r="H64" s="5" t="n">
        <v>47391</v>
      </c>
      <c r="I64" s="1" t="str">
        <v>ACTIVE</v>
      </c>
      <c r="J64" s="4" t="n">
        <f>MAX(E64-F64,0)</f>
        <v>27900</v>
      </c>
      <c r="K64" s="6" t="n">
        <f>F64/E64</f>
        <v>0.3025</v>
      </c>
    </row>
    <row r="65" ht="23" customHeight="1">
      <c r="A65" s="1" t="str">
        <v>G0064</v>
      </c>
      <c r="B65" s="1" t="str">
        <v>U022</v>
      </c>
      <c r="C65" s="1" t="str">
        <v>RETIREMENT</v>
      </c>
      <c r="D65" s="1" t="str">
        <v>retirement goal 22</v>
      </c>
      <c r="E65" s="4" t="n">
        <v>100000</v>
      </c>
      <c r="F65" s="4" t="n">
        <v>22200</v>
      </c>
      <c r="G65" s="4" t="n">
        <v>150</v>
      </c>
      <c r="H65" s="5" t="n">
        <v>46661</v>
      </c>
      <c r="I65" s="1" t="str">
        <v>ACTIVE</v>
      </c>
      <c r="J65" s="4" t="n">
        <f>MAX(E65-F65,0)</f>
        <v>77800</v>
      </c>
      <c r="K65" s="6" t="n">
        <f>F65/E65</f>
        <v>0.222</v>
      </c>
    </row>
    <row r="66" ht="23" customHeight="1">
      <c r="A66" s="1" t="str">
        <v>G0065</v>
      </c>
      <c r="B66" s="1" t="str">
        <v>U022</v>
      </c>
      <c r="C66" s="1" t="str">
        <v>EMERGENCY</v>
      </c>
      <c r="D66" s="1" t="str">
        <v>emergency goal 22</v>
      </c>
      <c r="E66" s="4" t="n">
        <v>15000</v>
      </c>
      <c r="F66" s="4" t="n">
        <v>7200</v>
      </c>
      <c r="G66" s="4" t="n">
        <v>300</v>
      </c>
      <c r="H66" s="5" t="n">
        <v>47026</v>
      </c>
      <c r="I66" s="1" t="str">
        <v>ACTIVE</v>
      </c>
      <c r="J66" s="4" t="n">
        <f>MAX(E66-F66,0)</f>
        <v>7800</v>
      </c>
      <c r="K66" s="6" t="n">
        <f>F66/E66</f>
        <v>0.48</v>
      </c>
    </row>
    <row r="67" ht="23" customHeight="1">
      <c r="A67" s="1" t="str">
        <v>G0066</v>
      </c>
      <c r="B67" s="1" t="str">
        <v>U022</v>
      </c>
      <c r="C67" s="1" t="str">
        <v>COLLEGE</v>
      </c>
      <c r="D67" s="1" t="str">
        <v>college goal 22</v>
      </c>
      <c r="E67" s="4" t="n">
        <v>40000</v>
      </c>
      <c r="F67" s="4" t="n">
        <v>12200</v>
      </c>
      <c r="G67" s="4" t="n">
        <v>450</v>
      </c>
      <c r="H67" s="5" t="n">
        <v>47391</v>
      </c>
      <c r="I67" s="1" t="str">
        <v>ACTIVE</v>
      </c>
      <c r="J67" s="4" t="n">
        <f>MAX(E67-F67,0)</f>
        <v>27800</v>
      </c>
      <c r="K67" s="6" t="n">
        <f>F67/E67</f>
        <v>0.305</v>
      </c>
    </row>
    <row r="68" ht="23" customHeight="1">
      <c r="A68" s="1" t="str">
        <v>G0067</v>
      </c>
      <c r="B68" s="1" t="str">
        <v>U023</v>
      </c>
      <c r="C68" s="1" t="str">
        <v>RETIREMENT</v>
      </c>
      <c r="D68" s="1" t="str">
        <v>retirement goal 23</v>
      </c>
      <c r="E68" s="4" t="n">
        <v>100000</v>
      </c>
      <c r="F68" s="4" t="n">
        <v>22300</v>
      </c>
      <c r="G68" s="4" t="n">
        <v>150</v>
      </c>
      <c r="H68" s="5" t="n">
        <v>46661</v>
      </c>
      <c r="I68" s="1" t="str">
        <v>ACTIVE</v>
      </c>
      <c r="J68" s="4" t="n">
        <f>MAX(E68-F68,0)</f>
        <v>77700</v>
      </c>
      <c r="K68" s="6" t="n">
        <f>F68/E68</f>
        <v>0.223</v>
      </c>
    </row>
    <row r="69" ht="23" customHeight="1">
      <c r="A69" s="1" t="str">
        <v>G0068</v>
      </c>
      <c r="B69" s="1" t="str">
        <v>U023</v>
      </c>
      <c r="C69" s="1" t="str">
        <v>EMERGENCY</v>
      </c>
      <c r="D69" s="1" t="str">
        <v>emergency goal 23</v>
      </c>
      <c r="E69" s="4" t="n">
        <v>15000</v>
      </c>
      <c r="F69" s="4" t="n">
        <v>7300</v>
      </c>
      <c r="G69" s="4" t="n">
        <v>300</v>
      </c>
      <c r="H69" s="5" t="n">
        <v>47026</v>
      </c>
      <c r="I69" s="1" t="str">
        <v>ACTIVE</v>
      </c>
      <c r="J69" s="4" t="n">
        <f>MAX(E69-F69,0)</f>
        <v>7700</v>
      </c>
      <c r="K69" s="6" t="n">
        <f>F69/E69</f>
        <v>0.4866666666666667</v>
      </c>
    </row>
    <row r="70" ht="23" customHeight="1">
      <c r="A70" s="1" t="str">
        <v>G0069</v>
      </c>
      <c r="B70" s="1" t="str">
        <v>U023</v>
      </c>
      <c r="C70" s="1" t="str">
        <v>COLLEGE</v>
      </c>
      <c r="D70" s="1" t="str">
        <v>college goal 23</v>
      </c>
      <c r="E70" s="4" t="n">
        <v>40000</v>
      </c>
      <c r="F70" s="4" t="n">
        <v>12300</v>
      </c>
      <c r="G70" s="4" t="n">
        <v>450</v>
      </c>
      <c r="H70" s="5" t="n">
        <v>47391</v>
      </c>
      <c r="I70" s="1" t="str">
        <v>ACTIVE</v>
      </c>
      <c r="J70" s="4" t="n">
        <f>MAX(E70-F70,0)</f>
        <v>27700</v>
      </c>
      <c r="K70" s="6" t="n">
        <f>F70/E70</f>
        <v>0.3075</v>
      </c>
    </row>
    <row r="71" ht="23" customHeight="1">
      <c r="A71" s="1" t="str">
        <v>G0070</v>
      </c>
      <c r="B71" s="1" t="str">
        <v>U024</v>
      </c>
      <c r="C71" s="1" t="str">
        <v>RETIREMENT</v>
      </c>
      <c r="D71" s="1" t="str">
        <v>retirement goal 24</v>
      </c>
      <c r="E71" s="4" t="n">
        <v>100000</v>
      </c>
      <c r="F71" s="4" t="n">
        <v>22400</v>
      </c>
      <c r="G71" s="4" t="n">
        <v>150</v>
      </c>
      <c r="H71" s="5" t="n">
        <v>46661</v>
      </c>
      <c r="I71" s="1" t="str">
        <v>ACTIVE</v>
      </c>
      <c r="J71" s="4" t="n">
        <f>MAX(E71-F71,0)</f>
        <v>77600</v>
      </c>
      <c r="K71" s="6" t="n">
        <f>F71/E71</f>
        <v>0.224</v>
      </c>
    </row>
    <row r="72" ht="23" customHeight="1">
      <c r="A72" s="1" t="str">
        <v>G0071</v>
      </c>
      <c r="B72" s="1" t="str">
        <v>U024</v>
      </c>
      <c r="C72" s="1" t="str">
        <v>EMERGENCY</v>
      </c>
      <c r="D72" s="1" t="str">
        <v>emergency goal 24</v>
      </c>
      <c r="E72" s="4" t="n">
        <v>15000</v>
      </c>
      <c r="F72" s="4" t="n">
        <v>7400</v>
      </c>
      <c r="G72" s="4" t="n">
        <v>300</v>
      </c>
      <c r="H72" s="5" t="n">
        <v>47026</v>
      </c>
      <c r="I72" s="1" t="str">
        <v>ACTIVE</v>
      </c>
      <c r="J72" s="4" t="n">
        <f>MAX(E72-F72,0)</f>
        <v>7600</v>
      </c>
      <c r="K72" s="6" t="n">
        <f>F72/E72</f>
        <v>0.49333333333333335</v>
      </c>
    </row>
    <row r="73" ht="23" customHeight="1">
      <c r="A73" s="1" t="str">
        <v>G0072</v>
      </c>
      <c r="B73" s="1" t="str">
        <v>U024</v>
      </c>
      <c r="C73" s="1" t="str">
        <v>COLLEGE</v>
      </c>
      <c r="D73" s="1" t="str">
        <v>college goal 24</v>
      </c>
      <c r="E73" s="4" t="n">
        <v>40000</v>
      </c>
      <c r="F73" s="4" t="n">
        <v>12400</v>
      </c>
      <c r="G73" s="4" t="n">
        <v>450</v>
      </c>
      <c r="H73" s="5" t="n">
        <v>47391</v>
      </c>
      <c r="I73" s="1" t="str">
        <v>ACTIVE</v>
      </c>
      <c r="J73" s="4" t="n">
        <f>MAX(E73-F73,0)</f>
        <v>27600</v>
      </c>
      <c r="K73" s="6" t="n">
        <f>F73/E73</f>
        <v>0.31</v>
      </c>
    </row>
    <row r="74" ht="23" customHeight="1">
      <c r="A74" s="1" t="str">
        <v>G0073</v>
      </c>
      <c r="B74" s="1" t="str">
        <v>U025</v>
      </c>
      <c r="C74" s="1" t="str">
        <v>RETIREMENT</v>
      </c>
      <c r="D74" s="1" t="str">
        <v>retirement goal 25</v>
      </c>
      <c r="E74" s="4" t="n">
        <v>100000</v>
      </c>
      <c r="F74" s="4" t="n">
        <v>22500</v>
      </c>
      <c r="G74" s="4" t="n">
        <v>150</v>
      </c>
      <c r="H74" s="5" t="n">
        <v>46661</v>
      </c>
      <c r="I74" s="1" t="str">
        <v>ACTIVE</v>
      </c>
      <c r="J74" s="4" t="n">
        <f>MAX(E74-F74,0)</f>
        <v>77500</v>
      </c>
      <c r="K74" s="6" t="n">
        <f>F74/E74</f>
        <v>0.225</v>
      </c>
    </row>
    <row r="75" ht="23" customHeight="1">
      <c r="A75" s="1" t="str">
        <v>G0074</v>
      </c>
      <c r="B75" s="1" t="str">
        <v>U025</v>
      </c>
      <c r="C75" s="1" t="str">
        <v>EMERGENCY</v>
      </c>
      <c r="D75" s="1" t="str">
        <v>emergency goal 25</v>
      </c>
      <c r="E75" s="4" t="n">
        <v>15000</v>
      </c>
      <c r="F75" s="4" t="n">
        <v>7500</v>
      </c>
      <c r="G75" s="4" t="n">
        <v>300</v>
      </c>
      <c r="H75" s="5" t="n">
        <v>47026</v>
      </c>
      <c r="I75" s="1" t="str">
        <v>ACTIVE</v>
      </c>
      <c r="J75" s="4" t="n">
        <f>MAX(E75-F75,0)</f>
        <v>7500</v>
      </c>
      <c r="K75" s="6" t="n">
        <f>F75/E75</f>
        <v>0.5</v>
      </c>
    </row>
    <row r="76" ht="23" customHeight="1">
      <c r="A76" s="1" t="str">
        <v>G0075</v>
      </c>
      <c r="B76" s="1" t="str">
        <v>U025</v>
      </c>
      <c r="C76" s="1" t="str">
        <v>COLLEGE</v>
      </c>
      <c r="D76" s="1" t="str">
        <v>college goal 25</v>
      </c>
      <c r="E76" s="4" t="n">
        <v>40000</v>
      </c>
      <c r="F76" s="4" t="n">
        <v>12500</v>
      </c>
      <c r="G76" s="4" t="n">
        <v>450</v>
      </c>
      <c r="H76" s="5" t="n">
        <v>47391</v>
      </c>
      <c r="I76" s="1" t="str">
        <v>ACTIVE</v>
      </c>
      <c r="J76" s="4" t="n">
        <f>MAX(E76-F76,0)</f>
        <v>27500</v>
      </c>
      <c r="K76" s="6" t="n">
        <f>F76/E76</f>
        <v>0.3125</v>
      </c>
    </row>
    <row r="77" ht="23" customHeight="1">
      <c r="A77" s="1" t="str">
        <v>G0076</v>
      </c>
      <c r="B77" s="1" t="str">
        <v>U026</v>
      </c>
      <c r="C77" s="1" t="str">
        <v>RETIREMENT</v>
      </c>
      <c r="D77" s="1" t="str">
        <v>retirement goal 26</v>
      </c>
      <c r="E77" s="4" t="n">
        <v>100000</v>
      </c>
      <c r="F77" s="4" t="n">
        <v>22600</v>
      </c>
      <c r="G77" s="4" t="n">
        <v>150</v>
      </c>
      <c r="H77" s="5" t="n">
        <v>46661</v>
      </c>
      <c r="I77" s="1" t="str">
        <v>ACTIVE</v>
      </c>
      <c r="J77" s="4" t="n">
        <f>MAX(E77-F77,0)</f>
        <v>77400</v>
      </c>
      <c r="K77" s="6" t="n">
        <f>F77/E77</f>
        <v>0.226</v>
      </c>
    </row>
    <row r="78" ht="23" customHeight="1">
      <c r="A78" s="1" t="str">
        <v>G0077</v>
      </c>
      <c r="B78" s="1" t="str">
        <v>U026</v>
      </c>
      <c r="C78" s="1" t="str">
        <v>EMERGENCY</v>
      </c>
      <c r="D78" s="1" t="str">
        <v>emergency goal 26</v>
      </c>
      <c r="E78" s="4" t="n">
        <v>15000</v>
      </c>
      <c r="F78" s="4" t="n">
        <v>7600</v>
      </c>
      <c r="G78" s="4" t="n">
        <v>300</v>
      </c>
      <c r="H78" s="5" t="n">
        <v>47026</v>
      </c>
      <c r="I78" s="1" t="str">
        <v>ACTIVE</v>
      </c>
      <c r="J78" s="4" t="n">
        <f>MAX(E78-F78,0)</f>
        <v>7400</v>
      </c>
      <c r="K78" s="6" t="n">
        <f>F78/E78</f>
        <v>0.5066666666666667</v>
      </c>
    </row>
    <row r="79" ht="23" customHeight="1">
      <c r="A79" s="1" t="str">
        <v>G0078</v>
      </c>
      <c r="B79" s="1" t="str">
        <v>U026</v>
      </c>
      <c r="C79" s="1" t="str">
        <v>COLLEGE</v>
      </c>
      <c r="D79" s="1" t="str">
        <v>college goal 26</v>
      </c>
      <c r="E79" s="4" t="n">
        <v>40000</v>
      </c>
      <c r="F79" s="4" t="n">
        <v>12600</v>
      </c>
      <c r="G79" s="4" t="n">
        <v>450</v>
      </c>
      <c r="H79" s="5" t="n">
        <v>47391</v>
      </c>
      <c r="I79" s="1" t="str">
        <v>ACTIVE</v>
      </c>
      <c r="J79" s="4" t="n">
        <f>MAX(E79-F79,0)</f>
        <v>27400</v>
      </c>
      <c r="K79" s="6" t="n">
        <f>F79/E79</f>
        <v>0.315</v>
      </c>
    </row>
    <row r="80" ht="23" customHeight="1">
      <c r="A80" s="1" t="str">
        <v>G0079</v>
      </c>
      <c r="B80" s="1" t="str">
        <v>U027</v>
      </c>
      <c r="C80" s="1" t="str">
        <v>RETIREMENT</v>
      </c>
      <c r="D80" s="1" t="str">
        <v>retirement goal 27</v>
      </c>
      <c r="E80" s="4" t="n">
        <v>100000</v>
      </c>
      <c r="F80" s="4" t="n">
        <v>22700</v>
      </c>
      <c r="G80" s="4" t="n">
        <v>150</v>
      </c>
      <c r="H80" s="5" t="n">
        <v>46661</v>
      </c>
      <c r="I80" s="1" t="str">
        <v>ACTIVE</v>
      </c>
      <c r="J80" s="4" t="n">
        <f>MAX(E80-F80,0)</f>
        <v>77300</v>
      </c>
      <c r="K80" s="6" t="n">
        <f>F80/E80</f>
        <v>0.227</v>
      </c>
    </row>
    <row r="81" ht="23" customHeight="1">
      <c r="A81" s="1" t="str">
        <v>G0080</v>
      </c>
      <c r="B81" s="1" t="str">
        <v>U027</v>
      </c>
      <c r="C81" s="1" t="str">
        <v>EMERGENCY</v>
      </c>
      <c r="D81" s="1" t="str">
        <v>emergency goal 27</v>
      </c>
      <c r="E81" s="4" t="n">
        <v>15000</v>
      </c>
      <c r="F81" s="4" t="n">
        <v>7700</v>
      </c>
      <c r="G81" s="4" t="n">
        <v>300</v>
      </c>
      <c r="H81" s="5" t="n">
        <v>47026</v>
      </c>
      <c r="I81" s="1" t="str">
        <v>ACTIVE</v>
      </c>
      <c r="J81" s="4" t="n">
        <f>MAX(E81-F81,0)</f>
        <v>7300</v>
      </c>
      <c r="K81" s="6" t="n">
        <f>F81/E81</f>
        <v>0.5133333333333333</v>
      </c>
    </row>
    <row r="82" ht="23" customHeight="1">
      <c r="A82" s="1" t="str">
        <v>G0081</v>
      </c>
      <c r="B82" s="1" t="str">
        <v>U027</v>
      </c>
      <c r="C82" s="1" t="str">
        <v>COLLEGE</v>
      </c>
      <c r="D82" s="1" t="str">
        <v>college goal 27</v>
      </c>
      <c r="E82" s="4" t="n">
        <v>40000</v>
      </c>
      <c r="F82" s="4" t="n">
        <v>12700</v>
      </c>
      <c r="G82" s="4" t="n">
        <v>450</v>
      </c>
      <c r="H82" s="5" t="n">
        <v>47391</v>
      </c>
      <c r="I82" s="1" t="str">
        <v>ACTIVE</v>
      </c>
      <c r="J82" s="4" t="n">
        <f>MAX(E82-F82,0)</f>
        <v>27300</v>
      </c>
      <c r="K82" s="6" t="n">
        <f>F82/E82</f>
        <v>0.3175</v>
      </c>
    </row>
    <row r="83" ht="23" customHeight="1">
      <c r="A83" s="1" t="str">
        <v>G0082</v>
      </c>
      <c r="B83" s="1" t="str">
        <v>U028</v>
      </c>
      <c r="C83" s="1" t="str">
        <v>RETIREMENT</v>
      </c>
      <c r="D83" s="1" t="str">
        <v>retirement goal 28</v>
      </c>
      <c r="E83" s="4" t="n">
        <v>100000</v>
      </c>
      <c r="F83" s="4" t="n">
        <v>22800</v>
      </c>
      <c r="G83" s="4" t="n">
        <v>150</v>
      </c>
      <c r="H83" s="5" t="n">
        <v>46661</v>
      </c>
      <c r="I83" s="1" t="str">
        <v>ACTIVE</v>
      </c>
      <c r="J83" s="4" t="n">
        <f>MAX(E83-F83,0)</f>
        <v>77200</v>
      </c>
      <c r="K83" s="6" t="n">
        <f>F83/E83</f>
        <v>0.228</v>
      </c>
    </row>
    <row r="84" ht="23" customHeight="1">
      <c r="A84" s="1" t="str">
        <v>G0083</v>
      </c>
      <c r="B84" s="1" t="str">
        <v>U028</v>
      </c>
      <c r="C84" s="1" t="str">
        <v>EMERGENCY</v>
      </c>
      <c r="D84" s="1" t="str">
        <v>emergency goal 28</v>
      </c>
      <c r="E84" s="4" t="n">
        <v>15000</v>
      </c>
      <c r="F84" s="4" t="n">
        <v>7800</v>
      </c>
      <c r="G84" s="4" t="n">
        <v>300</v>
      </c>
      <c r="H84" s="5" t="n">
        <v>47026</v>
      </c>
      <c r="I84" s="1" t="str">
        <v>ACTIVE</v>
      </c>
      <c r="J84" s="4" t="n">
        <f>MAX(E84-F84,0)</f>
        <v>7200</v>
      </c>
      <c r="K84" s="6" t="n">
        <f>F84/E84</f>
        <v>0.52</v>
      </c>
    </row>
    <row r="85" ht="23" customHeight="1">
      <c r="A85" s="1" t="str">
        <v>G0084</v>
      </c>
      <c r="B85" s="1" t="str">
        <v>U028</v>
      </c>
      <c r="C85" s="1" t="str">
        <v>COLLEGE</v>
      </c>
      <c r="D85" s="1" t="str">
        <v>college goal 28</v>
      </c>
      <c r="E85" s="4" t="n">
        <v>40000</v>
      </c>
      <c r="F85" s="4" t="n">
        <v>12800</v>
      </c>
      <c r="G85" s="4" t="n">
        <v>450</v>
      </c>
      <c r="H85" s="5" t="n">
        <v>47391</v>
      </c>
      <c r="I85" s="1" t="str">
        <v>ACTIVE</v>
      </c>
      <c r="J85" s="4" t="n">
        <f>MAX(E85-F85,0)</f>
        <v>27200</v>
      </c>
      <c r="K85" s="6" t="n">
        <f>F85/E85</f>
        <v>0.32</v>
      </c>
    </row>
    <row r="86" ht="23" customHeight="1">
      <c r="A86" s="1" t="str">
        <v>G0085</v>
      </c>
      <c r="B86" s="1" t="str">
        <v>U029</v>
      </c>
      <c r="C86" s="1" t="str">
        <v>RETIREMENT</v>
      </c>
      <c r="D86" s="1" t="str">
        <v>retirement goal 29</v>
      </c>
      <c r="E86" s="4" t="n">
        <v>100000</v>
      </c>
      <c r="F86" s="4" t="n">
        <v>22900</v>
      </c>
      <c r="G86" s="4" t="n">
        <v>150</v>
      </c>
      <c r="H86" s="5" t="n">
        <v>46661</v>
      </c>
      <c r="I86" s="1" t="str">
        <v>ACTIVE</v>
      </c>
      <c r="J86" s="4" t="n">
        <f>MAX(E86-F86,0)</f>
        <v>77100</v>
      </c>
      <c r="K86" s="6" t="n">
        <f>F86/E86</f>
        <v>0.229</v>
      </c>
    </row>
    <row r="87" ht="23" customHeight="1">
      <c r="A87" s="1" t="str">
        <v>G0086</v>
      </c>
      <c r="B87" s="1" t="str">
        <v>U029</v>
      </c>
      <c r="C87" s="1" t="str">
        <v>EMERGENCY</v>
      </c>
      <c r="D87" s="1" t="str">
        <v>emergency goal 29</v>
      </c>
      <c r="E87" s="4" t="n">
        <v>15000</v>
      </c>
      <c r="F87" s="4" t="n">
        <v>7900</v>
      </c>
      <c r="G87" s="4" t="n">
        <v>300</v>
      </c>
      <c r="H87" s="5" t="n">
        <v>47026</v>
      </c>
      <c r="I87" s="1" t="str">
        <v>ACTIVE</v>
      </c>
      <c r="J87" s="4" t="n">
        <f>MAX(E87-F87,0)</f>
        <v>7100</v>
      </c>
      <c r="K87" s="6" t="n">
        <f>F87/E87</f>
        <v>0.5266666666666666</v>
      </c>
    </row>
    <row r="88" ht="23" customHeight="1">
      <c r="A88" s="1" t="str">
        <v>G0087</v>
      </c>
      <c r="B88" s="1" t="str">
        <v>U029</v>
      </c>
      <c r="C88" s="1" t="str">
        <v>COLLEGE</v>
      </c>
      <c r="D88" s="1" t="str">
        <v>college goal 29</v>
      </c>
      <c r="E88" s="4" t="n">
        <v>40000</v>
      </c>
      <c r="F88" s="4" t="n">
        <v>12900</v>
      </c>
      <c r="G88" s="4" t="n">
        <v>450</v>
      </c>
      <c r="H88" s="5" t="n">
        <v>47391</v>
      </c>
      <c r="I88" s="1" t="str">
        <v>ACTIVE</v>
      </c>
      <c r="J88" s="4" t="n">
        <f>MAX(E88-F88,0)</f>
        <v>27100</v>
      </c>
      <c r="K88" s="6" t="n">
        <f>F88/E88</f>
        <v>0.3225</v>
      </c>
    </row>
    <row r="89" ht="23" customHeight="1">
      <c r="A89" s="1" t="str">
        <v>G0088</v>
      </c>
      <c r="B89" s="1" t="str">
        <v>U030</v>
      </c>
      <c r="C89" s="1" t="str">
        <v>RETIREMENT</v>
      </c>
      <c r="D89" s="1" t="str">
        <v>retirement goal 30</v>
      </c>
      <c r="E89" s="4" t="n">
        <v>100000</v>
      </c>
      <c r="F89" s="4" t="n">
        <v>23000</v>
      </c>
      <c r="G89" s="4" t="n">
        <v>150</v>
      </c>
      <c r="H89" s="5" t="n">
        <v>46661</v>
      </c>
      <c r="I89" s="1" t="str">
        <v>ACTIVE</v>
      </c>
      <c r="J89" s="4" t="n">
        <f>MAX(E89-F89,0)</f>
        <v>77000</v>
      </c>
      <c r="K89" s="6" t="n">
        <f>F89/E89</f>
        <v>0.23</v>
      </c>
    </row>
    <row r="90" ht="23" customHeight="1">
      <c r="A90" s="1" t="str">
        <v>G0089</v>
      </c>
      <c r="B90" s="1" t="str">
        <v>U030</v>
      </c>
      <c r="C90" s="1" t="str">
        <v>EMERGENCY</v>
      </c>
      <c r="D90" s="1" t="str">
        <v>emergency goal 30</v>
      </c>
      <c r="E90" s="4" t="n">
        <v>15000</v>
      </c>
      <c r="F90" s="4" t="n">
        <v>8000</v>
      </c>
      <c r="G90" s="4" t="n">
        <v>300</v>
      </c>
      <c r="H90" s="5" t="n">
        <v>47026</v>
      </c>
      <c r="I90" s="1" t="str">
        <v>ACTIVE</v>
      </c>
      <c r="J90" s="4" t="n">
        <f>MAX(E90-F90,0)</f>
        <v>7000</v>
      </c>
      <c r="K90" s="6" t="n">
        <f>F90/E90</f>
        <v>0.5333333333333333</v>
      </c>
    </row>
    <row r="91" ht="23" customHeight="1">
      <c r="A91" s="1" t="str">
        <v>G0090</v>
      </c>
      <c r="B91" s="1" t="str">
        <v>U030</v>
      </c>
      <c r="C91" s="1" t="str">
        <v>COLLEGE</v>
      </c>
      <c r="D91" s="1" t="str">
        <v>college goal 30</v>
      </c>
      <c r="E91" s="4" t="n">
        <v>40000</v>
      </c>
      <c r="F91" s="4" t="n">
        <v>13000</v>
      </c>
      <c r="G91" s="4" t="n">
        <v>450</v>
      </c>
      <c r="H91" s="5" t="n">
        <v>47391</v>
      </c>
      <c r="I91" s="1" t="str">
        <v>ACTIVE</v>
      </c>
      <c r="J91" s="4" t="n">
        <f>MAX(E91-F91,0)</f>
        <v>27000</v>
      </c>
      <c r="K91" s="6" t="n">
        <f>F91/E91</f>
        <v>0.325</v>
      </c>
    </row>
    <row r="92" ht="23" customHeight="1">
      <c r="A92" s="1" t="str">
        <v>G0091</v>
      </c>
      <c r="B92" s="1" t="str">
        <v>U031</v>
      </c>
      <c r="C92" s="1" t="str">
        <v>RETIREMENT</v>
      </c>
      <c r="D92" s="1" t="str">
        <v>retirement goal 31</v>
      </c>
      <c r="E92" s="4" t="n">
        <v>100000</v>
      </c>
      <c r="F92" s="4" t="n">
        <v>23100</v>
      </c>
      <c r="G92" s="4" t="n">
        <v>150</v>
      </c>
      <c r="H92" s="5" t="n">
        <v>46661</v>
      </c>
      <c r="I92" s="1" t="str">
        <v>ACTIVE</v>
      </c>
      <c r="J92" s="4" t="n">
        <f>MAX(E92-F92,0)</f>
        <v>76900</v>
      </c>
      <c r="K92" s="6" t="n">
        <f>F92/E92</f>
        <v>0.231</v>
      </c>
    </row>
    <row r="93" ht="23" customHeight="1">
      <c r="A93" s="1" t="str">
        <v>G0092</v>
      </c>
      <c r="B93" s="1" t="str">
        <v>U031</v>
      </c>
      <c r="C93" s="1" t="str">
        <v>EMERGENCY</v>
      </c>
      <c r="D93" s="1" t="str">
        <v>emergency goal 31</v>
      </c>
      <c r="E93" s="4" t="n">
        <v>15000</v>
      </c>
      <c r="F93" s="4" t="n">
        <v>8100</v>
      </c>
      <c r="G93" s="4" t="n">
        <v>300</v>
      </c>
      <c r="H93" s="5" t="n">
        <v>47026</v>
      </c>
      <c r="I93" s="1" t="str">
        <v>ACTIVE</v>
      </c>
      <c r="J93" s="4" t="n">
        <f>MAX(E93-F93,0)</f>
        <v>6900</v>
      </c>
      <c r="K93" s="6" t="n">
        <f>F93/E93</f>
        <v>0.54</v>
      </c>
    </row>
    <row r="94" ht="23" customHeight="1">
      <c r="A94" s="1" t="str">
        <v>G0093</v>
      </c>
      <c r="B94" s="1" t="str">
        <v>U031</v>
      </c>
      <c r="C94" s="1" t="str">
        <v>COLLEGE</v>
      </c>
      <c r="D94" s="1" t="str">
        <v>college goal 31</v>
      </c>
      <c r="E94" s="4" t="n">
        <v>40000</v>
      </c>
      <c r="F94" s="4" t="n">
        <v>13100</v>
      </c>
      <c r="G94" s="4" t="n">
        <v>450</v>
      </c>
      <c r="H94" s="5" t="n">
        <v>47391</v>
      </c>
      <c r="I94" s="1" t="str">
        <v>ACTIVE</v>
      </c>
      <c r="J94" s="4" t="n">
        <f>MAX(E94-F94,0)</f>
        <v>26900</v>
      </c>
      <c r="K94" s="6" t="n">
        <f>F94/E94</f>
        <v>0.3275</v>
      </c>
    </row>
    <row r="95" ht="23" customHeight="1">
      <c r="A95" s="1" t="str">
        <v>G0094</v>
      </c>
      <c r="B95" s="1" t="str">
        <v>U032</v>
      </c>
      <c r="C95" s="1" t="str">
        <v>RETIREMENT</v>
      </c>
      <c r="D95" s="1" t="str">
        <v>retirement goal 32</v>
      </c>
      <c r="E95" s="4" t="n">
        <v>100000</v>
      </c>
      <c r="F95" s="4" t="n">
        <v>23200</v>
      </c>
      <c r="G95" s="4" t="n">
        <v>150</v>
      </c>
      <c r="H95" s="5" t="n">
        <v>46661</v>
      </c>
      <c r="I95" s="1" t="str">
        <v>ACTIVE</v>
      </c>
      <c r="J95" s="4" t="n">
        <f>MAX(E95-F95,0)</f>
        <v>76800</v>
      </c>
      <c r="K95" s="6" t="n">
        <f>F95/E95</f>
        <v>0.232</v>
      </c>
    </row>
    <row r="96" ht="23" customHeight="1">
      <c r="A96" s="1" t="str">
        <v>G0095</v>
      </c>
      <c r="B96" s="1" t="str">
        <v>U032</v>
      </c>
      <c r="C96" s="1" t="str">
        <v>EMERGENCY</v>
      </c>
      <c r="D96" s="1" t="str">
        <v>emergency goal 32</v>
      </c>
      <c r="E96" s="4" t="n">
        <v>15000</v>
      </c>
      <c r="F96" s="4" t="n">
        <v>8200</v>
      </c>
      <c r="G96" s="4" t="n">
        <v>300</v>
      </c>
      <c r="H96" s="5" t="n">
        <v>47026</v>
      </c>
      <c r="I96" s="1" t="str">
        <v>ACTIVE</v>
      </c>
      <c r="J96" s="4" t="n">
        <f>MAX(E96-F96,0)</f>
        <v>6800</v>
      </c>
      <c r="K96" s="6" t="n">
        <f>F96/E96</f>
        <v>0.5466666666666666</v>
      </c>
    </row>
    <row r="97" ht="23" customHeight="1">
      <c r="A97" s="1" t="str">
        <v>G0096</v>
      </c>
      <c r="B97" s="1" t="str">
        <v>U032</v>
      </c>
      <c r="C97" s="1" t="str">
        <v>COLLEGE</v>
      </c>
      <c r="D97" s="1" t="str">
        <v>college goal 32</v>
      </c>
      <c r="E97" s="4" t="n">
        <v>40000</v>
      </c>
      <c r="F97" s="4" t="n">
        <v>13200</v>
      </c>
      <c r="G97" s="4" t="n">
        <v>450</v>
      </c>
      <c r="H97" s="5" t="n">
        <v>47391</v>
      </c>
      <c r="I97" s="1" t="str">
        <v>ACTIVE</v>
      </c>
      <c r="J97" s="4" t="n">
        <f>MAX(E97-F97,0)</f>
        <v>26800</v>
      </c>
      <c r="K97" s="6" t="n">
        <f>F97/E97</f>
        <v>0.33</v>
      </c>
    </row>
    <row r="98" ht="23" customHeight="1">
      <c r="A98" s="1" t="str">
        <v>G0097</v>
      </c>
      <c r="B98" s="1" t="str">
        <v>U033</v>
      </c>
      <c r="C98" s="1" t="str">
        <v>RETIREMENT</v>
      </c>
      <c r="D98" s="1" t="str">
        <v>retirement goal 33</v>
      </c>
      <c r="E98" s="4" t="n">
        <v>100000</v>
      </c>
      <c r="F98" s="4" t="n">
        <v>23300</v>
      </c>
      <c r="G98" s="4" t="n">
        <v>150</v>
      </c>
      <c r="H98" s="5" t="n">
        <v>46661</v>
      </c>
      <c r="I98" s="1" t="str">
        <v>ACTIVE</v>
      </c>
      <c r="J98" s="4" t="n">
        <f>MAX(E98-F98,0)</f>
        <v>76700</v>
      </c>
      <c r="K98" s="6" t="n">
        <f>F98/E98</f>
        <v>0.233</v>
      </c>
    </row>
    <row r="99" ht="23" customHeight="1">
      <c r="A99" s="1" t="str">
        <v>G0098</v>
      </c>
      <c r="B99" s="1" t="str">
        <v>U033</v>
      </c>
      <c r="C99" s="1" t="str">
        <v>EMERGENCY</v>
      </c>
      <c r="D99" s="1" t="str">
        <v>emergency goal 33</v>
      </c>
      <c r="E99" s="4" t="n">
        <v>15000</v>
      </c>
      <c r="F99" s="4" t="n">
        <v>8300</v>
      </c>
      <c r="G99" s="4" t="n">
        <v>300</v>
      </c>
      <c r="H99" s="5" t="n">
        <v>47026</v>
      </c>
      <c r="I99" s="1" t="str">
        <v>ACTIVE</v>
      </c>
      <c r="J99" s="4" t="n">
        <f>MAX(E99-F99,0)</f>
        <v>6700</v>
      </c>
      <c r="K99" s="6" t="n">
        <f>F99/E99</f>
        <v>0.5533333333333333</v>
      </c>
    </row>
    <row r="100" ht="23" customHeight="1">
      <c r="A100" s="1" t="str">
        <v>G0099</v>
      </c>
      <c r="B100" s="1" t="str">
        <v>U033</v>
      </c>
      <c r="C100" s="1" t="str">
        <v>COLLEGE</v>
      </c>
      <c r="D100" s="1" t="str">
        <v>college goal 33</v>
      </c>
      <c r="E100" s="4" t="n">
        <v>40000</v>
      </c>
      <c r="F100" s="4" t="n">
        <v>13300</v>
      </c>
      <c r="G100" s="4" t="n">
        <v>450</v>
      </c>
      <c r="H100" s="5" t="n">
        <v>47391</v>
      </c>
      <c r="I100" s="1" t="str">
        <v>ACTIVE</v>
      </c>
      <c r="J100" s="4" t="n">
        <f>MAX(E100-F100,0)</f>
        <v>26700</v>
      </c>
      <c r="K100" s="6" t="n">
        <f>F100/E100</f>
        <v>0.3325</v>
      </c>
    </row>
    <row r="101" ht="23" customHeight="1">
      <c r="A101" s="1" t="str">
        <v>G0100</v>
      </c>
      <c r="B101" s="1" t="str">
        <v>U034</v>
      </c>
      <c r="C101" s="1" t="str">
        <v>RETIREMENT</v>
      </c>
      <c r="D101" s="1" t="str">
        <v>retirement goal 34</v>
      </c>
      <c r="E101" s="4" t="n">
        <v>100000</v>
      </c>
      <c r="F101" s="4" t="n">
        <v>23400</v>
      </c>
      <c r="G101" s="4" t="n">
        <v>150</v>
      </c>
      <c r="H101" s="5" t="n">
        <v>46661</v>
      </c>
      <c r="I101" s="1" t="str">
        <v>ACTIVE</v>
      </c>
      <c r="J101" s="4" t="n">
        <f>MAX(E101-F101,0)</f>
        <v>76600</v>
      </c>
      <c r="K101" s="6" t="n">
        <f>F101/E101</f>
        <v>0.234</v>
      </c>
    </row>
    <row r="102" ht="23" customHeight="1">
      <c r="A102" s="1" t="str">
        <v>G0101</v>
      </c>
      <c r="B102" s="1" t="str">
        <v>U034</v>
      </c>
      <c r="C102" s="1" t="str">
        <v>EMERGENCY</v>
      </c>
      <c r="D102" s="1" t="str">
        <v>emergency goal 34</v>
      </c>
      <c r="E102" s="4" t="n">
        <v>15000</v>
      </c>
      <c r="F102" s="4" t="n">
        <v>8400</v>
      </c>
      <c r="G102" s="4" t="n">
        <v>300</v>
      </c>
      <c r="H102" s="5" t="n">
        <v>47026</v>
      </c>
      <c r="I102" s="1" t="str">
        <v>ACTIVE</v>
      </c>
      <c r="J102" s="4" t="n">
        <f>MAX(E102-F102,0)</f>
        <v>6600</v>
      </c>
      <c r="K102" s="6" t="n">
        <f>F102/E102</f>
        <v>0.56</v>
      </c>
    </row>
    <row r="103" ht="23" customHeight="1">
      <c r="A103" s="1" t="str">
        <v>G0102</v>
      </c>
      <c r="B103" s="1" t="str">
        <v>U034</v>
      </c>
      <c r="C103" s="1" t="str">
        <v>COLLEGE</v>
      </c>
      <c r="D103" s="1" t="str">
        <v>college goal 34</v>
      </c>
      <c r="E103" s="4" t="n">
        <v>40000</v>
      </c>
      <c r="F103" s="4" t="n">
        <v>13400</v>
      </c>
      <c r="G103" s="4" t="n">
        <v>450</v>
      </c>
      <c r="H103" s="5" t="n">
        <v>47391</v>
      </c>
      <c r="I103" s="1" t="str">
        <v>ACTIVE</v>
      </c>
      <c r="J103" s="4" t="n">
        <f>MAX(E103-F103,0)</f>
        <v>26600</v>
      </c>
      <c r="K103" s="6" t="n">
        <f>F103/E103</f>
        <v>0.335</v>
      </c>
    </row>
    <row r="104" ht="23" customHeight="1">
      <c r="A104" s="1" t="str">
        <v>G0103</v>
      </c>
      <c r="B104" s="1" t="str">
        <v>U035</v>
      </c>
      <c r="C104" s="1" t="str">
        <v>RETIREMENT</v>
      </c>
      <c r="D104" s="1" t="str">
        <v>retirement goal 35</v>
      </c>
      <c r="E104" s="4" t="n">
        <v>100000</v>
      </c>
      <c r="F104" s="4" t="n">
        <v>23500</v>
      </c>
      <c r="G104" s="4" t="n">
        <v>150</v>
      </c>
      <c r="H104" s="5" t="n">
        <v>46661</v>
      </c>
      <c r="I104" s="1" t="str">
        <v>ACTIVE</v>
      </c>
      <c r="J104" s="4" t="n">
        <f>MAX(E104-F104,0)</f>
        <v>76500</v>
      </c>
      <c r="K104" s="6" t="n">
        <f>F104/E104</f>
        <v>0.235</v>
      </c>
    </row>
    <row r="105" ht="23" customHeight="1">
      <c r="A105" s="1" t="str">
        <v>G0104</v>
      </c>
      <c r="B105" s="1" t="str">
        <v>U035</v>
      </c>
      <c r="C105" s="1" t="str">
        <v>EMERGENCY</v>
      </c>
      <c r="D105" s="1" t="str">
        <v>emergency goal 35</v>
      </c>
      <c r="E105" s="4" t="n">
        <v>15000</v>
      </c>
      <c r="F105" s="4" t="n">
        <v>8500</v>
      </c>
      <c r="G105" s="4" t="n">
        <v>300</v>
      </c>
      <c r="H105" s="5" t="n">
        <v>47026</v>
      </c>
      <c r="I105" s="1" t="str">
        <v>ACTIVE</v>
      </c>
      <c r="J105" s="4" t="n">
        <f>MAX(E105-F105,0)</f>
        <v>6500</v>
      </c>
      <c r="K105" s="6" t="n">
        <f>F105/E105</f>
        <v>0.5666666666666667</v>
      </c>
    </row>
    <row r="106" ht="23" customHeight="1">
      <c r="A106" s="1" t="str">
        <v>G0105</v>
      </c>
      <c r="B106" s="1" t="str">
        <v>U035</v>
      </c>
      <c r="C106" s="1" t="str">
        <v>COLLEGE</v>
      </c>
      <c r="D106" s="1" t="str">
        <v>college goal 35</v>
      </c>
      <c r="E106" s="4" t="n">
        <v>40000</v>
      </c>
      <c r="F106" s="4" t="n">
        <v>13500</v>
      </c>
      <c r="G106" s="4" t="n">
        <v>450</v>
      </c>
      <c r="H106" s="5" t="n">
        <v>47391</v>
      </c>
      <c r="I106" s="1" t="str">
        <v>ACTIVE</v>
      </c>
      <c r="J106" s="4" t="n">
        <f>MAX(E106-F106,0)</f>
        <v>26500</v>
      </c>
      <c r="K106" s="6" t="n">
        <f>F106/E106</f>
        <v>0.3375</v>
      </c>
    </row>
    <row r="107" ht="23" customHeight="1">
      <c r="A107" s="1" t="str">
        <v>G0106</v>
      </c>
      <c r="B107" s="1" t="str">
        <v>U036</v>
      </c>
      <c r="C107" s="1" t="str">
        <v>RETIREMENT</v>
      </c>
      <c r="D107" s="1" t="str">
        <v>retirement goal 36</v>
      </c>
      <c r="E107" s="4" t="n">
        <v>100000</v>
      </c>
      <c r="F107" s="4" t="n">
        <v>23600</v>
      </c>
      <c r="G107" s="4" t="n">
        <v>150</v>
      </c>
      <c r="H107" s="5" t="n">
        <v>46661</v>
      </c>
      <c r="I107" s="1" t="str">
        <v>ACTIVE</v>
      </c>
      <c r="J107" s="4" t="n">
        <f>MAX(E107-F107,0)</f>
        <v>76400</v>
      </c>
      <c r="K107" s="6" t="n">
        <f>F107/E107</f>
        <v>0.236</v>
      </c>
    </row>
    <row r="108" ht="23" customHeight="1">
      <c r="A108" s="1" t="str">
        <v>G0107</v>
      </c>
      <c r="B108" s="1" t="str">
        <v>U036</v>
      </c>
      <c r="C108" s="1" t="str">
        <v>EMERGENCY</v>
      </c>
      <c r="D108" s="1" t="str">
        <v>emergency goal 36</v>
      </c>
      <c r="E108" s="4" t="n">
        <v>15000</v>
      </c>
      <c r="F108" s="4" t="n">
        <v>8600</v>
      </c>
      <c r="G108" s="4" t="n">
        <v>300</v>
      </c>
      <c r="H108" s="5" t="n">
        <v>47026</v>
      </c>
      <c r="I108" s="1" t="str">
        <v>ACTIVE</v>
      </c>
      <c r="J108" s="4" t="n">
        <f>MAX(E108-F108,0)</f>
        <v>6400</v>
      </c>
      <c r="K108" s="6" t="n">
        <f>F108/E108</f>
        <v>0.5733333333333334</v>
      </c>
    </row>
    <row r="109" ht="23" customHeight="1">
      <c r="A109" s="1" t="str">
        <v>G0108</v>
      </c>
      <c r="B109" s="1" t="str">
        <v>U036</v>
      </c>
      <c r="C109" s="1" t="str">
        <v>COLLEGE</v>
      </c>
      <c r="D109" s="1" t="str">
        <v>college goal 36</v>
      </c>
      <c r="E109" s="4" t="n">
        <v>40000</v>
      </c>
      <c r="F109" s="4" t="n">
        <v>13600</v>
      </c>
      <c r="G109" s="4" t="n">
        <v>450</v>
      </c>
      <c r="H109" s="5" t="n">
        <v>47391</v>
      </c>
      <c r="I109" s="1" t="str">
        <v>ACTIVE</v>
      </c>
      <c r="J109" s="4" t="n">
        <f>MAX(E109-F109,0)</f>
        <v>26400</v>
      </c>
      <c r="K109" s="6" t="n">
        <f>F109/E109</f>
        <v>0.34</v>
      </c>
    </row>
    <row r="110" ht="23" customHeight="1">
      <c r="A110" s="1" t="str">
        <v>G0109</v>
      </c>
      <c r="B110" s="1" t="str">
        <v>U037</v>
      </c>
      <c r="C110" s="1" t="str">
        <v>RETIREMENT</v>
      </c>
      <c r="D110" s="1" t="str">
        <v>retirement goal 37</v>
      </c>
      <c r="E110" s="4" t="n">
        <v>100000</v>
      </c>
      <c r="F110" s="4" t="n">
        <v>23700</v>
      </c>
      <c r="G110" s="4" t="n">
        <v>150</v>
      </c>
      <c r="H110" s="5" t="n">
        <v>46661</v>
      </c>
      <c r="I110" s="1" t="str">
        <v>ACTIVE</v>
      </c>
      <c r="J110" s="4" t="n">
        <f>MAX(E110-F110,0)</f>
        <v>76300</v>
      </c>
      <c r="K110" s="6" t="n">
        <f>F110/E110</f>
        <v>0.237</v>
      </c>
    </row>
    <row r="111" ht="23" customHeight="1">
      <c r="A111" s="1" t="str">
        <v>G0110</v>
      </c>
      <c r="B111" s="1" t="str">
        <v>U037</v>
      </c>
      <c r="C111" s="1" t="str">
        <v>EMERGENCY</v>
      </c>
      <c r="D111" s="1" t="str">
        <v>emergency goal 37</v>
      </c>
      <c r="E111" s="4" t="n">
        <v>15000</v>
      </c>
      <c r="F111" s="4" t="n">
        <v>8700</v>
      </c>
      <c r="G111" s="4" t="n">
        <v>300</v>
      </c>
      <c r="H111" s="5" t="n">
        <v>47026</v>
      </c>
      <c r="I111" s="1" t="str">
        <v>ACTIVE</v>
      </c>
      <c r="J111" s="4" t="n">
        <f>MAX(E111-F111,0)</f>
        <v>6300</v>
      </c>
      <c r="K111" s="6" t="n">
        <f>F111/E111</f>
        <v>0.58</v>
      </c>
    </row>
    <row r="112" ht="23" customHeight="1">
      <c r="A112" s="1" t="str">
        <v>G0111</v>
      </c>
      <c r="B112" s="1" t="str">
        <v>U037</v>
      </c>
      <c r="C112" s="1" t="str">
        <v>COLLEGE</v>
      </c>
      <c r="D112" s="1" t="str">
        <v>college goal 37</v>
      </c>
      <c r="E112" s="4" t="n">
        <v>40000</v>
      </c>
      <c r="F112" s="4" t="n">
        <v>13700</v>
      </c>
      <c r="G112" s="4" t="n">
        <v>450</v>
      </c>
      <c r="H112" s="5" t="n">
        <v>47391</v>
      </c>
      <c r="I112" s="1" t="str">
        <v>ACTIVE</v>
      </c>
      <c r="J112" s="4" t="n">
        <f>MAX(E112-F112,0)</f>
        <v>26300</v>
      </c>
      <c r="K112" s="6" t="n">
        <f>F112/E112</f>
        <v>0.3425</v>
      </c>
    </row>
    <row r="113" ht="23" customHeight="1">
      <c r="A113" s="1" t="str">
        <v>G0112</v>
      </c>
      <c r="B113" s="1" t="str">
        <v>U038</v>
      </c>
      <c r="C113" s="1" t="str">
        <v>RETIREMENT</v>
      </c>
      <c r="D113" s="1" t="str">
        <v>retirement goal 38</v>
      </c>
      <c r="E113" s="4" t="n">
        <v>100000</v>
      </c>
      <c r="F113" s="4" t="n">
        <v>23800</v>
      </c>
      <c r="G113" s="4" t="n">
        <v>150</v>
      </c>
      <c r="H113" s="5" t="n">
        <v>46661</v>
      </c>
      <c r="I113" s="1" t="str">
        <v>ACTIVE</v>
      </c>
      <c r="J113" s="4" t="n">
        <f>MAX(E113-F113,0)</f>
        <v>76200</v>
      </c>
      <c r="K113" s="6" t="n">
        <f>F113/E113</f>
        <v>0.238</v>
      </c>
    </row>
    <row r="114" ht="23" customHeight="1">
      <c r="A114" s="1" t="str">
        <v>G0113</v>
      </c>
      <c r="B114" s="1" t="str">
        <v>U038</v>
      </c>
      <c r="C114" s="1" t="str">
        <v>EMERGENCY</v>
      </c>
      <c r="D114" s="1" t="str">
        <v>emergency goal 38</v>
      </c>
      <c r="E114" s="4" t="n">
        <v>15000</v>
      </c>
      <c r="F114" s="4" t="n">
        <v>8800</v>
      </c>
      <c r="G114" s="4" t="n">
        <v>300</v>
      </c>
      <c r="H114" s="5" t="n">
        <v>47026</v>
      </c>
      <c r="I114" s="1" t="str">
        <v>ACTIVE</v>
      </c>
      <c r="J114" s="4" t="n">
        <f>MAX(E114-F114,0)</f>
        <v>6200</v>
      </c>
      <c r="K114" s="6" t="n">
        <f>F114/E114</f>
        <v>0.5866666666666667</v>
      </c>
    </row>
    <row r="115" ht="23" customHeight="1">
      <c r="A115" s="1" t="str">
        <v>G0114</v>
      </c>
      <c r="B115" s="1" t="str">
        <v>U038</v>
      </c>
      <c r="C115" s="1" t="str">
        <v>COLLEGE</v>
      </c>
      <c r="D115" s="1" t="str">
        <v>college goal 38</v>
      </c>
      <c r="E115" s="4" t="n">
        <v>40000</v>
      </c>
      <c r="F115" s="4" t="n">
        <v>13800</v>
      </c>
      <c r="G115" s="4" t="n">
        <v>450</v>
      </c>
      <c r="H115" s="5" t="n">
        <v>47391</v>
      </c>
      <c r="I115" s="1" t="str">
        <v>ACTIVE</v>
      </c>
      <c r="J115" s="4" t="n">
        <f>MAX(E115-F115,0)</f>
        <v>26200</v>
      </c>
      <c r="K115" s="6" t="n">
        <f>F115/E115</f>
        <v>0.345</v>
      </c>
    </row>
    <row r="116" ht="23" customHeight="1">
      <c r="A116" s="1" t="str">
        <v>G0115</v>
      </c>
      <c r="B116" s="1" t="str">
        <v>U039</v>
      </c>
      <c r="C116" s="1" t="str">
        <v>RETIREMENT</v>
      </c>
      <c r="D116" s="1" t="str">
        <v>retirement goal 39</v>
      </c>
      <c r="E116" s="4" t="n">
        <v>100000</v>
      </c>
      <c r="F116" s="4" t="n">
        <v>23900</v>
      </c>
      <c r="G116" s="4" t="n">
        <v>150</v>
      </c>
      <c r="H116" s="5" t="n">
        <v>46661</v>
      </c>
      <c r="I116" s="1" t="str">
        <v>ACTIVE</v>
      </c>
      <c r="J116" s="4" t="n">
        <f>MAX(E116-F116,0)</f>
        <v>76100</v>
      </c>
      <c r="K116" s="6" t="n">
        <f>F116/E116</f>
        <v>0.239</v>
      </c>
    </row>
    <row r="117" ht="23" customHeight="1">
      <c r="A117" s="1" t="str">
        <v>G0116</v>
      </c>
      <c r="B117" s="1" t="str">
        <v>U039</v>
      </c>
      <c r="C117" s="1" t="str">
        <v>EMERGENCY</v>
      </c>
      <c r="D117" s="1" t="str">
        <v>emergency goal 39</v>
      </c>
      <c r="E117" s="4" t="n">
        <v>15000</v>
      </c>
      <c r="F117" s="4" t="n">
        <v>8900</v>
      </c>
      <c r="G117" s="4" t="n">
        <v>300</v>
      </c>
      <c r="H117" s="5" t="n">
        <v>47026</v>
      </c>
      <c r="I117" s="1" t="str">
        <v>ACTIVE</v>
      </c>
      <c r="J117" s="4" t="n">
        <f>MAX(E117-F117,0)</f>
        <v>6100</v>
      </c>
      <c r="K117" s="6" t="n">
        <f>F117/E117</f>
        <v>0.5933333333333334</v>
      </c>
    </row>
    <row r="118" ht="23" customHeight="1">
      <c r="A118" s="1" t="str">
        <v>G0117</v>
      </c>
      <c r="B118" s="1" t="str">
        <v>U039</v>
      </c>
      <c r="C118" s="1" t="str">
        <v>COLLEGE</v>
      </c>
      <c r="D118" s="1" t="str">
        <v>college goal 39</v>
      </c>
      <c r="E118" s="4" t="n">
        <v>40000</v>
      </c>
      <c r="F118" s="4" t="n">
        <v>13900</v>
      </c>
      <c r="G118" s="4" t="n">
        <v>450</v>
      </c>
      <c r="H118" s="5" t="n">
        <v>47391</v>
      </c>
      <c r="I118" s="1" t="str">
        <v>ACTIVE</v>
      </c>
      <c r="J118" s="4" t="n">
        <f>MAX(E118-F118,0)</f>
        <v>26100</v>
      </c>
      <c r="K118" s="6" t="n">
        <f>F118/E118</f>
        <v>0.3475</v>
      </c>
    </row>
    <row r="119" ht="23" customHeight="1">
      <c r="A119" s="1" t="str">
        <v>G0118</v>
      </c>
      <c r="B119" s="1" t="str">
        <v>U040</v>
      </c>
      <c r="C119" s="1" t="str">
        <v>RETIREMENT</v>
      </c>
      <c r="D119" s="1" t="str">
        <v>retirement goal 40</v>
      </c>
      <c r="E119" s="4" t="n">
        <v>100000</v>
      </c>
      <c r="F119" s="4" t="n">
        <v>24000</v>
      </c>
      <c r="G119" s="4" t="n">
        <v>150</v>
      </c>
      <c r="H119" s="5" t="n">
        <v>46661</v>
      </c>
      <c r="I119" s="1" t="str">
        <v>ACTIVE</v>
      </c>
      <c r="J119" s="4" t="n">
        <f>MAX(E119-F119,0)</f>
        <v>76000</v>
      </c>
      <c r="K119" s="6" t="n">
        <f>F119/E119</f>
        <v>0.24</v>
      </c>
    </row>
    <row r="120" ht="23" customHeight="1">
      <c r="A120" s="1" t="str">
        <v>G0119</v>
      </c>
      <c r="B120" s="1" t="str">
        <v>U040</v>
      </c>
      <c r="C120" s="1" t="str">
        <v>EMERGENCY</v>
      </c>
      <c r="D120" s="1" t="str">
        <v>emergency goal 40</v>
      </c>
      <c r="E120" s="4" t="n">
        <v>15000</v>
      </c>
      <c r="F120" s="4" t="n">
        <v>9000</v>
      </c>
      <c r="G120" s="4" t="n">
        <v>300</v>
      </c>
      <c r="H120" s="5" t="n">
        <v>47026</v>
      </c>
      <c r="I120" s="1" t="str">
        <v>ACTIVE</v>
      </c>
      <c r="J120" s="4" t="n">
        <f>MAX(E120-F120,0)</f>
        <v>6000</v>
      </c>
      <c r="K120" s="6" t="n">
        <f>F120/E120</f>
        <v>0.6</v>
      </c>
    </row>
    <row r="121" ht="23" customHeight="1">
      <c r="A121" s="1" t="str">
        <v>G0120</v>
      </c>
      <c r="B121" s="1" t="str">
        <v>U040</v>
      </c>
      <c r="C121" s="1" t="str">
        <v>COLLEGE</v>
      </c>
      <c r="D121" s="1" t="str">
        <v>college goal 40</v>
      </c>
      <c r="E121" s="4" t="n">
        <v>40000</v>
      </c>
      <c r="F121" s="4" t="n">
        <v>14000</v>
      </c>
      <c r="G121" s="4" t="n">
        <v>450</v>
      </c>
      <c r="H121" s="5" t="n">
        <v>47391</v>
      </c>
      <c r="I121" s="1" t="str">
        <v>ACTIVE</v>
      </c>
      <c r="J121" s="4" t="n">
        <f>MAX(E121-F121,0)</f>
        <v>26000</v>
      </c>
      <c r="K121" s="6" t="n">
        <f>F121/E121</f>
        <v>0.35</v>
      </c>
    </row>
    <row r="122" ht="23" customHeight="1">
      <c r="A122" s="1" t="str">
        <v>G0121</v>
      </c>
      <c r="B122" s="1" t="str">
        <v>U041</v>
      </c>
      <c r="C122" s="1" t="str">
        <v>RETIREMENT</v>
      </c>
      <c r="D122" s="1" t="str">
        <v>retirement goal 41</v>
      </c>
      <c r="E122" s="4" t="n">
        <v>100000</v>
      </c>
      <c r="F122" s="4" t="n">
        <v>24100</v>
      </c>
      <c r="G122" s="4" t="n">
        <v>150</v>
      </c>
      <c r="H122" s="5" t="n">
        <v>46661</v>
      </c>
      <c r="I122" s="1" t="str">
        <v>ACTIVE</v>
      </c>
      <c r="J122" s="4" t="n">
        <f>MAX(E122-F122,0)</f>
        <v>75900</v>
      </c>
      <c r="K122" s="6" t="n">
        <f>F122/E122</f>
        <v>0.241</v>
      </c>
    </row>
    <row r="123" ht="23" customHeight="1">
      <c r="A123" s="1" t="str">
        <v>G0122</v>
      </c>
      <c r="B123" s="1" t="str">
        <v>U041</v>
      </c>
      <c r="C123" s="1" t="str">
        <v>EMERGENCY</v>
      </c>
      <c r="D123" s="1" t="str">
        <v>emergency goal 41</v>
      </c>
      <c r="E123" s="4" t="n">
        <v>15000</v>
      </c>
      <c r="F123" s="4" t="n">
        <v>9100</v>
      </c>
      <c r="G123" s="4" t="n">
        <v>300</v>
      </c>
      <c r="H123" s="5" t="n">
        <v>47026</v>
      </c>
      <c r="I123" s="1" t="str">
        <v>ACTIVE</v>
      </c>
      <c r="J123" s="4" t="n">
        <f>MAX(E123-F123,0)</f>
        <v>5900</v>
      </c>
      <c r="K123" s="6" t="n">
        <f>F123/E123</f>
        <v>0.6066666666666667</v>
      </c>
    </row>
    <row r="124" ht="23" customHeight="1">
      <c r="A124" s="1" t="str">
        <v>G0123</v>
      </c>
      <c r="B124" s="1" t="str">
        <v>U041</v>
      </c>
      <c r="C124" s="1" t="str">
        <v>COLLEGE</v>
      </c>
      <c r="D124" s="1" t="str">
        <v>college goal 41</v>
      </c>
      <c r="E124" s="4" t="n">
        <v>40000</v>
      </c>
      <c r="F124" s="4" t="n">
        <v>14100</v>
      </c>
      <c r="G124" s="4" t="n">
        <v>450</v>
      </c>
      <c r="H124" s="5" t="n">
        <v>47391</v>
      </c>
      <c r="I124" s="1" t="str">
        <v>ACTIVE</v>
      </c>
      <c r="J124" s="4" t="n">
        <f>MAX(E124-F124,0)</f>
        <v>25900</v>
      </c>
      <c r="K124" s="6" t="n">
        <f>F124/E124</f>
        <v>0.3525</v>
      </c>
    </row>
    <row r="125" ht="23" customHeight="1">
      <c r="A125" s="1" t="str">
        <v>G0124</v>
      </c>
      <c r="B125" s="1" t="str">
        <v>U042</v>
      </c>
      <c r="C125" s="1" t="str">
        <v>RETIREMENT</v>
      </c>
      <c r="D125" s="1" t="str">
        <v>retirement goal 42</v>
      </c>
      <c r="E125" s="4" t="n">
        <v>100000</v>
      </c>
      <c r="F125" s="4" t="n">
        <v>24200</v>
      </c>
      <c r="G125" s="4" t="n">
        <v>150</v>
      </c>
      <c r="H125" s="5" t="n">
        <v>46661</v>
      </c>
      <c r="I125" s="1" t="str">
        <v>ACTIVE</v>
      </c>
      <c r="J125" s="4" t="n">
        <f>MAX(E125-F125,0)</f>
        <v>75800</v>
      </c>
      <c r="K125" s="6" t="n">
        <f>F125/E125</f>
        <v>0.242</v>
      </c>
    </row>
    <row r="126" ht="23" customHeight="1">
      <c r="A126" s="1" t="str">
        <v>G0125</v>
      </c>
      <c r="B126" s="1" t="str">
        <v>U042</v>
      </c>
      <c r="C126" s="1" t="str">
        <v>EMERGENCY</v>
      </c>
      <c r="D126" s="1" t="str">
        <v>emergency goal 42</v>
      </c>
      <c r="E126" s="4" t="n">
        <v>15000</v>
      </c>
      <c r="F126" s="4" t="n">
        <v>9200</v>
      </c>
      <c r="G126" s="4" t="n">
        <v>300</v>
      </c>
      <c r="H126" s="5" t="n">
        <v>47026</v>
      </c>
      <c r="I126" s="1" t="str">
        <v>ACTIVE</v>
      </c>
      <c r="J126" s="4" t="n">
        <f>MAX(E126-F126,0)</f>
        <v>5800</v>
      </c>
      <c r="K126" s="6" t="n">
        <f>F126/E126</f>
        <v>0.6133333333333333</v>
      </c>
    </row>
    <row r="127" ht="23" customHeight="1">
      <c r="A127" s="1" t="str">
        <v>G0126</v>
      </c>
      <c r="B127" s="1" t="str">
        <v>U042</v>
      </c>
      <c r="C127" s="1" t="str">
        <v>COLLEGE</v>
      </c>
      <c r="D127" s="1" t="str">
        <v>college goal 42</v>
      </c>
      <c r="E127" s="4" t="n">
        <v>40000</v>
      </c>
      <c r="F127" s="4" t="n">
        <v>14200</v>
      </c>
      <c r="G127" s="4" t="n">
        <v>450</v>
      </c>
      <c r="H127" s="5" t="n">
        <v>47391</v>
      </c>
      <c r="I127" s="1" t="str">
        <v>ACTIVE</v>
      </c>
      <c r="J127" s="4" t="n">
        <f>MAX(E127-F127,0)</f>
        <v>25800</v>
      </c>
      <c r="K127" s="6" t="n">
        <f>F127/E127</f>
        <v>0.355</v>
      </c>
    </row>
    <row r="128" ht="23" customHeight="1">
      <c r="A128" s="1" t="str">
        <v>G0127</v>
      </c>
      <c r="B128" s="1" t="str">
        <v>U043</v>
      </c>
      <c r="C128" s="1" t="str">
        <v>RETIREMENT</v>
      </c>
      <c r="D128" s="1" t="str">
        <v>retirement goal 43</v>
      </c>
      <c r="E128" s="4" t="n">
        <v>100000</v>
      </c>
      <c r="F128" s="4" t="n">
        <v>24300</v>
      </c>
      <c r="G128" s="4" t="n">
        <v>150</v>
      </c>
      <c r="H128" s="5" t="n">
        <v>46661</v>
      </c>
      <c r="I128" s="1" t="str">
        <v>ACTIVE</v>
      </c>
      <c r="J128" s="4" t="n">
        <f>MAX(E128-F128,0)</f>
        <v>75700</v>
      </c>
      <c r="K128" s="6" t="n">
        <f>F128/E128</f>
        <v>0.243</v>
      </c>
    </row>
    <row r="129" ht="23" customHeight="1">
      <c r="A129" s="1" t="str">
        <v>G0128</v>
      </c>
      <c r="B129" s="1" t="str">
        <v>U043</v>
      </c>
      <c r="C129" s="1" t="str">
        <v>EMERGENCY</v>
      </c>
      <c r="D129" s="1" t="str">
        <v>emergency goal 43</v>
      </c>
      <c r="E129" s="4" t="n">
        <v>15000</v>
      </c>
      <c r="F129" s="4" t="n">
        <v>9300</v>
      </c>
      <c r="G129" s="4" t="n">
        <v>300</v>
      </c>
      <c r="H129" s="5" t="n">
        <v>47026</v>
      </c>
      <c r="I129" s="1" t="str">
        <v>ACTIVE</v>
      </c>
      <c r="J129" s="4" t="n">
        <f>MAX(E129-F129,0)</f>
        <v>5700</v>
      </c>
      <c r="K129" s="6" t="n">
        <f>F129/E129</f>
        <v>0.62</v>
      </c>
    </row>
    <row r="130" ht="23" customHeight="1">
      <c r="A130" s="1" t="str">
        <v>G0129</v>
      </c>
      <c r="B130" s="1" t="str">
        <v>U043</v>
      </c>
      <c r="C130" s="1" t="str">
        <v>COLLEGE</v>
      </c>
      <c r="D130" s="1" t="str">
        <v>college goal 43</v>
      </c>
      <c r="E130" s="4" t="n">
        <v>40000</v>
      </c>
      <c r="F130" s="4" t="n">
        <v>14300</v>
      </c>
      <c r="G130" s="4" t="n">
        <v>450</v>
      </c>
      <c r="H130" s="5" t="n">
        <v>47391</v>
      </c>
      <c r="I130" s="1" t="str">
        <v>ACTIVE</v>
      </c>
      <c r="J130" s="4" t="n">
        <f>MAX(E130-F130,0)</f>
        <v>25700</v>
      </c>
      <c r="K130" s="6" t="n">
        <f>F130/E130</f>
        <v>0.3575</v>
      </c>
    </row>
    <row r="131" ht="23" customHeight="1">
      <c r="A131" s="1" t="str">
        <v>G0130</v>
      </c>
      <c r="B131" s="1" t="str">
        <v>U044</v>
      </c>
      <c r="C131" s="1" t="str">
        <v>RETIREMENT</v>
      </c>
      <c r="D131" s="1" t="str">
        <v>retirement goal 44</v>
      </c>
      <c r="E131" s="4" t="n">
        <v>100000</v>
      </c>
      <c r="F131" s="4" t="n">
        <v>24400</v>
      </c>
      <c r="G131" s="4" t="n">
        <v>150</v>
      </c>
      <c r="H131" s="5" t="n">
        <v>46661</v>
      </c>
      <c r="I131" s="1" t="str">
        <v>ACTIVE</v>
      </c>
      <c r="J131" s="4" t="n">
        <f>MAX(E131-F131,0)</f>
        <v>75600</v>
      </c>
      <c r="K131" s="6" t="n">
        <f>F131/E131</f>
        <v>0.244</v>
      </c>
    </row>
    <row r="132" ht="23" customHeight="1">
      <c r="A132" s="1" t="str">
        <v>G0131</v>
      </c>
      <c r="B132" s="1" t="str">
        <v>U044</v>
      </c>
      <c r="C132" s="1" t="str">
        <v>EMERGENCY</v>
      </c>
      <c r="D132" s="1" t="str">
        <v>emergency goal 44</v>
      </c>
      <c r="E132" s="4" t="n">
        <v>15000</v>
      </c>
      <c r="F132" s="4" t="n">
        <v>9400</v>
      </c>
      <c r="G132" s="4" t="n">
        <v>300</v>
      </c>
      <c r="H132" s="5" t="n">
        <v>47026</v>
      </c>
      <c r="I132" s="1" t="str">
        <v>ACTIVE</v>
      </c>
      <c r="J132" s="4" t="n">
        <f>MAX(E132-F132,0)</f>
        <v>5600</v>
      </c>
      <c r="K132" s="6" t="n">
        <f>F132/E132</f>
        <v>0.6266666666666667</v>
      </c>
    </row>
    <row r="133" ht="23" customHeight="1">
      <c r="A133" s="1" t="str">
        <v>G0132</v>
      </c>
      <c r="B133" s="1" t="str">
        <v>U044</v>
      </c>
      <c r="C133" s="1" t="str">
        <v>COLLEGE</v>
      </c>
      <c r="D133" s="1" t="str">
        <v>college goal 44</v>
      </c>
      <c r="E133" s="4" t="n">
        <v>40000</v>
      </c>
      <c r="F133" s="4" t="n">
        <v>14400</v>
      </c>
      <c r="G133" s="4" t="n">
        <v>450</v>
      </c>
      <c r="H133" s="5" t="n">
        <v>47391</v>
      </c>
      <c r="I133" s="1" t="str">
        <v>ACTIVE</v>
      </c>
      <c r="J133" s="4" t="n">
        <f>MAX(E133-F133,0)</f>
        <v>25600</v>
      </c>
      <c r="K133" s="6" t="n">
        <f>F133/E133</f>
        <v>0.36</v>
      </c>
    </row>
    <row r="134" ht="23" customHeight="1">
      <c r="A134" s="1" t="str">
        <v>G0133</v>
      </c>
      <c r="B134" s="1" t="str">
        <v>U045</v>
      </c>
      <c r="C134" s="1" t="str">
        <v>RETIREMENT</v>
      </c>
      <c r="D134" s="1" t="str">
        <v>retirement goal 45</v>
      </c>
      <c r="E134" s="4" t="n">
        <v>100000</v>
      </c>
      <c r="F134" s="4" t="n">
        <v>24500</v>
      </c>
      <c r="G134" s="4" t="n">
        <v>150</v>
      </c>
      <c r="H134" s="5" t="n">
        <v>46661</v>
      </c>
      <c r="I134" s="1" t="str">
        <v>ACTIVE</v>
      </c>
      <c r="J134" s="4" t="n">
        <f>MAX(E134-F134,0)</f>
        <v>75500</v>
      </c>
      <c r="K134" s="6" t="n">
        <f>F134/E134</f>
        <v>0.245</v>
      </c>
    </row>
    <row r="135" ht="23" customHeight="1">
      <c r="A135" s="1" t="str">
        <v>G0134</v>
      </c>
      <c r="B135" s="1" t="str">
        <v>U045</v>
      </c>
      <c r="C135" s="1" t="str">
        <v>EMERGENCY</v>
      </c>
      <c r="D135" s="1" t="str">
        <v>emergency goal 45</v>
      </c>
      <c r="E135" s="4" t="n">
        <v>15000</v>
      </c>
      <c r="F135" s="4" t="n">
        <v>9500</v>
      </c>
      <c r="G135" s="4" t="n">
        <v>300</v>
      </c>
      <c r="H135" s="5" t="n">
        <v>47026</v>
      </c>
      <c r="I135" s="1" t="str">
        <v>ACTIVE</v>
      </c>
      <c r="J135" s="4" t="n">
        <f>MAX(E135-F135,0)</f>
        <v>5500</v>
      </c>
      <c r="K135" s="6" t="n">
        <f>F135/E135</f>
        <v>0.6333333333333333</v>
      </c>
    </row>
    <row r="136" ht="23" customHeight="1">
      <c r="A136" s="1" t="str">
        <v>G0135</v>
      </c>
      <c r="B136" s="1" t="str">
        <v>U045</v>
      </c>
      <c r="C136" s="1" t="str">
        <v>COLLEGE</v>
      </c>
      <c r="D136" s="1" t="str">
        <v>college goal 45</v>
      </c>
      <c r="E136" s="4" t="n">
        <v>40000</v>
      </c>
      <c r="F136" s="4" t="n">
        <v>14500</v>
      </c>
      <c r="G136" s="4" t="n">
        <v>450</v>
      </c>
      <c r="H136" s="5" t="n">
        <v>47391</v>
      </c>
      <c r="I136" s="1" t="str">
        <v>ACTIVE</v>
      </c>
      <c r="J136" s="4" t="n">
        <f>MAX(E136-F136,0)</f>
        <v>25500</v>
      </c>
      <c r="K136" s="6" t="n">
        <f>F136/E136</f>
        <v>0.3625</v>
      </c>
    </row>
    <row r="137" ht="23" customHeight="1">
      <c r="A137" s="1" t="str">
        <v>G0136</v>
      </c>
      <c r="B137" s="1" t="str">
        <v>U046</v>
      </c>
      <c r="C137" s="1" t="str">
        <v>RETIREMENT</v>
      </c>
      <c r="D137" s="1" t="str">
        <v>retirement goal 46</v>
      </c>
      <c r="E137" s="4" t="n">
        <v>100000</v>
      </c>
      <c r="F137" s="4" t="n">
        <v>24600</v>
      </c>
      <c r="G137" s="4" t="n">
        <v>150</v>
      </c>
      <c r="H137" s="5" t="n">
        <v>46661</v>
      </c>
      <c r="I137" s="1" t="str">
        <v>ACTIVE</v>
      </c>
      <c r="J137" s="4" t="n">
        <f>MAX(E137-F137,0)</f>
        <v>75400</v>
      </c>
      <c r="K137" s="6" t="n">
        <f>F137/E137</f>
        <v>0.246</v>
      </c>
    </row>
    <row r="138" ht="23" customHeight="1">
      <c r="A138" s="1" t="str">
        <v>G0137</v>
      </c>
      <c r="B138" s="1" t="str">
        <v>U046</v>
      </c>
      <c r="C138" s="1" t="str">
        <v>EMERGENCY</v>
      </c>
      <c r="D138" s="1" t="str">
        <v>emergency goal 46</v>
      </c>
      <c r="E138" s="4" t="n">
        <v>15000</v>
      </c>
      <c r="F138" s="4" t="n">
        <v>9600</v>
      </c>
      <c r="G138" s="4" t="n">
        <v>300</v>
      </c>
      <c r="H138" s="5" t="n">
        <v>47026</v>
      </c>
      <c r="I138" s="1" t="str">
        <v>ACTIVE</v>
      </c>
      <c r="J138" s="4" t="n">
        <f>MAX(E138-F138,0)</f>
        <v>5400</v>
      </c>
      <c r="K138" s="6" t="n">
        <f>F138/E138</f>
        <v>0.64</v>
      </c>
    </row>
    <row r="139" ht="23" customHeight="1">
      <c r="A139" s="1" t="str">
        <v>G0138</v>
      </c>
      <c r="B139" s="1" t="str">
        <v>U046</v>
      </c>
      <c r="C139" s="1" t="str">
        <v>COLLEGE</v>
      </c>
      <c r="D139" s="1" t="str">
        <v>college goal 46</v>
      </c>
      <c r="E139" s="4" t="n">
        <v>40000</v>
      </c>
      <c r="F139" s="4" t="n">
        <v>14600</v>
      </c>
      <c r="G139" s="4" t="n">
        <v>450</v>
      </c>
      <c r="H139" s="5" t="n">
        <v>47391</v>
      </c>
      <c r="I139" s="1" t="str">
        <v>ACTIVE</v>
      </c>
      <c r="J139" s="4" t="n">
        <f>MAX(E139-F139,0)</f>
        <v>25400</v>
      </c>
      <c r="K139" s="6" t="n">
        <f>F139/E139</f>
        <v>0.365</v>
      </c>
    </row>
    <row r="140" ht="23" customHeight="1">
      <c r="A140" s="1" t="str">
        <v>G0139</v>
      </c>
      <c r="B140" s="1" t="str">
        <v>U047</v>
      </c>
      <c r="C140" s="1" t="str">
        <v>RETIREMENT</v>
      </c>
      <c r="D140" s="1" t="str">
        <v>retirement goal 47</v>
      </c>
      <c r="E140" s="4" t="n">
        <v>100000</v>
      </c>
      <c r="F140" s="4" t="n">
        <v>24700</v>
      </c>
      <c r="G140" s="4" t="n">
        <v>150</v>
      </c>
      <c r="H140" s="5" t="n">
        <v>46661</v>
      </c>
      <c r="I140" s="1" t="str">
        <v>ACTIVE</v>
      </c>
      <c r="J140" s="4" t="n">
        <f>MAX(E140-F140,0)</f>
        <v>75300</v>
      </c>
      <c r="K140" s="6" t="n">
        <f>F140/E140</f>
        <v>0.247</v>
      </c>
    </row>
    <row r="141" ht="23" customHeight="1">
      <c r="A141" s="1" t="str">
        <v>G0140</v>
      </c>
      <c r="B141" s="1" t="str">
        <v>U047</v>
      </c>
      <c r="C141" s="1" t="str">
        <v>EMERGENCY</v>
      </c>
      <c r="D141" s="1" t="str">
        <v>emergency goal 47</v>
      </c>
      <c r="E141" s="4" t="n">
        <v>15000</v>
      </c>
      <c r="F141" s="4" t="n">
        <v>9700</v>
      </c>
      <c r="G141" s="4" t="n">
        <v>300</v>
      </c>
      <c r="H141" s="5" t="n">
        <v>47026</v>
      </c>
      <c r="I141" s="1" t="str">
        <v>ACTIVE</v>
      </c>
      <c r="J141" s="4" t="n">
        <f>MAX(E141-F141,0)</f>
        <v>5300</v>
      </c>
      <c r="K141" s="6" t="n">
        <f>F141/E141</f>
        <v>0.6466666666666666</v>
      </c>
    </row>
    <row r="142" ht="23" customHeight="1">
      <c r="A142" s="1" t="str">
        <v>G0141</v>
      </c>
      <c r="B142" s="1" t="str">
        <v>U047</v>
      </c>
      <c r="C142" s="1" t="str">
        <v>COLLEGE</v>
      </c>
      <c r="D142" s="1" t="str">
        <v>college goal 47</v>
      </c>
      <c r="E142" s="4" t="n">
        <v>40000</v>
      </c>
      <c r="F142" s="4" t="n">
        <v>14700</v>
      </c>
      <c r="G142" s="4" t="n">
        <v>450</v>
      </c>
      <c r="H142" s="5" t="n">
        <v>47391</v>
      </c>
      <c r="I142" s="1" t="str">
        <v>ACTIVE</v>
      </c>
      <c r="J142" s="4" t="n">
        <f>MAX(E142-F142,0)</f>
        <v>25300</v>
      </c>
      <c r="K142" s="6" t="n">
        <f>F142/E142</f>
        <v>0.3675</v>
      </c>
    </row>
    <row r="143" ht="23" customHeight="1">
      <c r="A143" s="1" t="str">
        <v>G0142</v>
      </c>
      <c r="B143" s="1" t="str">
        <v>U048</v>
      </c>
      <c r="C143" s="1" t="str">
        <v>RETIREMENT</v>
      </c>
      <c r="D143" s="1" t="str">
        <v>retirement goal 48</v>
      </c>
      <c r="E143" s="4" t="n">
        <v>100000</v>
      </c>
      <c r="F143" s="4" t="n">
        <v>24800</v>
      </c>
      <c r="G143" s="4" t="n">
        <v>150</v>
      </c>
      <c r="H143" s="5" t="n">
        <v>46661</v>
      </c>
      <c r="I143" s="1" t="str">
        <v>ACTIVE</v>
      </c>
      <c r="J143" s="4" t="n">
        <f>MAX(E143-F143,0)</f>
        <v>75200</v>
      </c>
      <c r="K143" s="6" t="n">
        <f>F143/E143</f>
        <v>0.248</v>
      </c>
    </row>
    <row r="144" ht="23" customHeight="1">
      <c r="A144" s="1" t="str">
        <v>G0143</v>
      </c>
      <c r="B144" s="1" t="str">
        <v>U048</v>
      </c>
      <c r="C144" s="1" t="str">
        <v>EMERGENCY</v>
      </c>
      <c r="D144" s="1" t="str">
        <v>emergency goal 48</v>
      </c>
      <c r="E144" s="4" t="n">
        <v>15000</v>
      </c>
      <c r="F144" s="4" t="n">
        <v>9800</v>
      </c>
      <c r="G144" s="4" t="n">
        <v>300</v>
      </c>
      <c r="H144" s="5" t="n">
        <v>47026</v>
      </c>
      <c r="I144" s="1" t="str">
        <v>ACTIVE</v>
      </c>
      <c r="J144" s="4" t="n">
        <f>MAX(E144-F144,0)</f>
        <v>5200</v>
      </c>
      <c r="K144" s="6" t="n">
        <f>F144/E144</f>
        <v>0.6533333333333333</v>
      </c>
    </row>
    <row r="145" ht="23" customHeight="1">
      <c r="A145" s="1" t="str">
        <v>G0144</v>
      </c>
      <c r="B145" s="1" t="str">
        <v>U048</v>
      </c>
      <c r="C145" s="1" t="str">
        <v>COLLEGE</v>
      </c>
      <c r="D145" s="1" t="str">
        <v>college goal 48</v>
      </c>
      <c r="E145" s="4" t="n">
        <v>40000</v>
      </c>
      <c r="F145" s="4" t="n">
        <v>14800</v>
      </c>
      <c r="G145" s="4" t="n">
        <v>450</v>
      </c>
      <c r="H145" s="5" t="n">
        <v>47391</v>
      </c>
      <c r="I145" s="1" t="str">
        <v>ACTIVE</v>
      </c>
      <c r="J145" s="4" t="n">
        <f>MAX(E145-F145,0)</f>
        <v>25200</v>
      </c>
      <c r="K145" s="6" t="n">
        <f>F145/E145</f>
        <v>0.37</v>
      </c>
    </row>
    <row r="146" ht="23" customHeight="1">
      <c r="A146" s="1" t="str">
        <v>G0145</v>
      </c>
      <c r="B146" s="1" t="str">
        <v>U049</v>
      </c>
      <c r="C146" s="1" t="str">
        <v>RETIREMENT</v>
      </c>
      <c r="D146" s="1" t="str">
        <v>retirement goal 49</v>
      </c>
      <c r="E146" s="4" t="n">
        <v>100000</v>
      </c>
      <c r="F146" s="4" t="n">
        <v>24900</v>
      </c>
      <c r="G146" s="4" t="n">
        <v>150</v>
      </c>
      <c r="H146" s="5" t="n">
        <v>46661</v>
      </c>
      <c r="I146" s="1" t="str">
        <v>ACTIVE</v>
      </c>
      <c r="J146" s="4" t="n">
        <f>MAX(E146-F146,0)</f>
        <v>75100</v>
      </c>
      <c r="K146" s="6" t="n">
        <f>F146/E146</f>
        <v>0.249</v>
      </c>
    </row>
    <row r="147" ht="23" customHeight="1">
      <c r="A147" s="1" t="str">
        <v>G0146</v>
      </c>
      <c r="B147" s="1" t="str">
        <v>U049</v>
      </c>
      <c r="C147" s="1" t="str">
        <v>EMERGENCY</v>
      </c>
      <c r="D147" s="1" t="str">
        <v>emergency goal 49</v>
      </c>
      <c r="E147" s="4" t="n">
        <v>15000</v>
      </c>
      <c r="F147" s="4" t="n">
        <v>9900</v>
      </c>
      <c r="G147" s="4" t="n">
        <v>300</v>
      </c>
      <c r="H147" s="5" t="n">
        <v>47026</v>
      </c>
      <c r="I147" s="1" t="str">
        <v>ACTIVE</v>
      </c>
      <c r="J147" s="4" t="n">
        <f>MAX(E147-F147,0)</f>
        <v>5100</v>
      </c>
      <c r="K147" s="6" t="n">
        <f>F147/E147</f>
        <v>0.66</v>
      </c>
    </row>
    <row r="148" ht="23" customHeight="1">
      <c r="A148" s="1" t="str">
        <v>G0147</v>
      </c>
      <c r="B148" s="1" t="str">
        <v>U049</v>
      </c>
      <c r="C148" s="1" t="str">
        <v>COLLEGE</v>
      </c>
      <c r="D148" s="1" t="str">
        <v>college goal 49</v>
      </c>
      <c r="E148" s="4" t="n">
        <v>40000</v>
      </c>
      <c r="F148" s="4" t="n">
        <v>14900</v>
      </c>
      <c r="G148" s="4" t="n">
        <v>450</v>
      </c>
      <c r="H148" s="5" t="n">
        <v>47391</v>
      </c>
      <c r="I148" s="1" t="str">
        <v>ACTIVE</v>
      </c>
      <c r="J148" s="4" t="n">
        <f>MAX(E148-F148,0)</f>
        <v>25100</v>
      </c>
      <c r="K148" s="6" t="n">
        <f>F148/E148</f>
        <v>0.3725</v>
      </c>
    </row>
    <row r="149" ht="23" customHeight="1">
      <c r="A149" s="1" t="str">
        <v>G0148</v>
      </c>
      <c r="B149" s="1" t="str">
        <v>U050</v>
      </c>
      <c r="C149" s="1" t="str">
        <v>RETIREMENT</v>
      </c>
      <c r="D149" s="1" t="str">
        <v>retirement goal 50</v>
      </c>
      <c r="E149" s="4" t="n">
        <v>100000</v>
      </c>
      <c r="F149" s="4" t="n">
        <v>25000</v>
      </c>
      <c r="G149" s="4" t="n">
        <v>150</v>
      </c>
      <c r="H149" s="5" t="n">
        <v>46661</v>
      </c>
      <c r="I149" s="1" t="str">
        <v>ACTIVE</v>
      </c>
      <c r="J149" s="4" t="n">
        <f>MAX(E149-F149,0)</f>
        <v>75000</v>
      </c>
      <c r="K149" s="6" t="n">
        <f>F149/E149</f>
        <v>0.25</v>
      </c>
    </row>
    <row r="150" ht="23" customHeight="1">
      <c r="A150" s="1" t="str">
        <v>G0149</v>
      </c>
      <c r="B150" s="1" t="str">
        <v>U050</v>
      </c>
      <c r="C150" s="1" t="str">
        <v>EMERGENCY</v>
      </c>
      <c r="D150" s="1" t="str">
        <v>emergency goal 50</v>
      </c>
      <c r="E150" s="4" t="n">
        <v>15000</v>
      </c>
      <c r="F150" s="4" t="n">
        <v>10000</v>
      </c>
      <c r="G150" s="4" t="n">
        <v>300</v>
      </c>
      <c r="H150" s="5" t="n">
        <v>47026</v>
      </c>
      <c r="I150" s="1" t="str">
        <v>ACTIVE</v>
      </c>
      <c r="J150" s="4" t="n">
        <f>MAX(E150-F150,0)</f>
        <v>5000</v>
      </c>
      <c r="K150" s="6" t="n">
        <f>F150/E150</f>
        <v>0.6666666666666666</v>
      </c>
    </row>
    <row r="151" ht="23" customHeight="1">
      <c r="A151" s="1" t="str">
        <v>G0150</v>
      </c>
      <c r="B151" s="1" t="str">
        <v>U050</v>
      </c>
      <c r="C151" s="1" t="str">
        <v>COLLEGE</v>
      </c>
      <c r="D151" s="1" t="str">
        <v>college goal 50</v>
      </c>
      <c r="E151" s="4" t="n">
        <v>40000</v>
      </c>
      <c r="F151" s="4" t="n">
        <v>15000</v>
      </c>
      <c r="G151" s="4" t="n">
        <v>450</v>
      </c>
      <c r="H151" s="5" t="n">
        <v>47391</v>
      </c>
      <c r="I151" s="1" t="str">
        <v>ACTIVE</v>
      </c>
      <c r="J151" s="4" t="n">
        <f>MAX(E151-F151,0)</f>
        <v>25000</v>
      </c>
      <c r="K151" s="6" t="n">
        <f>F151/E151</f>
        <v>0.375</v>
      </c>
    </row>
    <row r="152" ht="23" customHeight="1">
      <c r="A152" s="1" t="str">
        <v>G0151</v>
      </c>
      <c r="B152" s="1" t="str">
        <v>U051</v>
      </c>
      <c r="C152" s="1" t="str">
        <v>RETIREMENT</v>
      </c>
      <c r="D152" s="1" t="str">
        <v>retirement goal 51</v>
      </c>
      <c r="E152" s="4" t="n">
        <v>100000</v>
      </c>
      <c r="F152" s="4" t="n">
        <v>25100</v>
      </c>
      <c r="G152" s="4" t="n">
        <v>150</v>
      </c>
      <c r="H152" s="5" t="n">
        <v>46661</v>
      </c>
      <c r="I152" s="1" t="str">
        <v>ACTIVE</v>
      </c>
      <c r="J152" s="4" t="n">
        <f>MAX(E152-F152,0)</f>
        <v>74900</v>
      </c>
      <c r="K152" s="6" t="n">
        <f>F152/E152</f>
        <v>0.251</v>
      </c>
    </row>
    <row r="153" ht="23" customHeight="1">
      <c r="A153" s="1" t="str">
        <v>G0152</v>
      </c>
      <c r="B153" s="1" t="str">
        <v>U051</v>
      </c>
      <c r="C153" s="1" t="str">
        <v>EMERGENCY</v>
      </c>
      <c r="D153" s="1" t="str">
        <v>emergency goal 51</v>
      </c>
      <c r="E153" s="4" t="n">
        <v>15000</v>
      </c>
      <c r="F153" s="4" t="n">
        <v>10100</v>
      </c>
      <c r="G153" s="4" t="n">
        <v>300</v>
      </c>
      <c r="H153" s="5" t="n">
        <v>47026</v>
      </c>
      <c r="I153" s="1" t="str">
        <v>ACTIVE</v>
      </c>
      <c r="J153" s="4" t="n">
        <f>MAX(E153-F153,0)</f>
        <v>4900</v>
      </c>
      <c r="K153" s="6" t="n">
        <f>F153/E153</f>
        <v>0.6733333333333333</v>
      </c>
    </row>
    <row r="154" ht="23" customHeight="1">
      <c r="A154" s="1" t="str">
        <v>G0153</v>
      </c>
      <c r="B154" s="1" t="str">
        <v>U051</v>
      </c>
      <c r="C154" s="1" t="str">
        <v>COLLEGE</v>
      </c>
      <c r="D154" s="1" t="str">
        <v>college goal 51</v>
      </c>
      <c r="E154" s="4" t="n">
        <v>40000</v>
      </c>
      <c r="F154" s="4" t="n">
        <v>15100</v>
      </c>
      <c r="G154" s="4" t="n">
        <v>450</v>
      </c>
      <c r="H154" s="5" t="n">
        <v>47391</v>
      </c>
      <c r="I154" s="1" t="str">
        <v>ACTIVE</v>
      </c>
      <c r="J154" s="4" t="n">
        <f>MAX(E154-F154,0)</f>
        <v>24900</v>
      </c>
      <c r="K154" s="6" t="n">
        <f>F154/E154</f>
        <v>0.3775</v>
      </c>
    </row>
    <row r="155" ht="23" customHeight="1">
      <c r="A155" s="1" t="str">
        <v>G0154</v>
      </c>
      <c r="B155" s="1" t="str">
        <v>U052</v>
      </c>
      <c r="C155" s="1" t="str">
        <v>RETIREMENT</v>
      </c>
      <c r="D155" s="1" t="str">
        <v>retirement goal 52</v>
      </c>
      <c r="E155" s="4" t="n">
        <v>100000</v>
      </c>
      <c r="F155" s="4" t="n">
        <v>25200</v>
      </c>
      <c r="G155" s="4" t="n">
        <v>150</v>
      </c>
      <c r="H155" s="5" t="n">
        <v>46661</v>
      </c>
      <c r="I155" s="1" t="str">
        <v>ACTIVE</v>
      </c>
      <c r="J155" s="4" t="n">
        <f>MAX(E155-F155,0)</f>
        <v>74800</v>
      </c>
      <c r="K155" s="6" t="n">
        <f>F155/E155</f>
        <v>0.252</v>
      </c>
    </row>
    <row r="156" ht="23" customHeight="1">
      <c r="A156" s="1" t="str">
        <v>G0155</v>
      </c>
      <c r="B156" s="1" t="str">
        <v>U052</v>
      </c>
      <c r="C156" s="1" t="str">
        <v>EMERGENCY</v>
      </c>
      <c r="D156" s="1" t="str">
        <v>emergency goal 52</v>
      </c>
      <c r="E156" s="4" t="n">
        <v>15000</v>
      </c>
      <c r="F156" s="4" t="n">
        <v>10200</v>
      </c>
      <c r="G156" s="4" t="n">
        <v>300</v>
      </c>
      <c r="H156" s="5" t="n">
        <v>47026</v>
      </c>
      <c r="I156" s="1" t="str">
        <v>ACTIVE</v>
      </c>
      <c r="J156" s="4" t="n">
        <f>MAX(E156-F156,0)</f>
        <v>4800</v>
      </c>
      <c r="K156" s="6" t="n">
        <f>F156/E156</f>
        <v>0.68</v>
      </c>
    </row>
    <row r="157" ht="23" customHeight="1">
      <c r="A157" s="1" t="str">
        <v>G0156</v>
      </c>
      <c r="B157" s="1" t="str">
        <v>U052</v>
      </c>
      <c r="C157" s="1" t="str">
        <v>COLLEGE</v>
      </c>
      <c r="D157" s="1" t="str">
        <v>college goal 52</v>
      </c>
      <c r="E157" s="4" t="n">
        <v>40000</v>
      </c>
      <c r="F157" s="4" t="n">
        <v>15200</v>
      </c>
      <c r="G157" s="4" t="n">
        <v>450</v>
      </c>
      <c r="H157" s="5" t="n">
        <v>47391</v>
      </c>
      <c r="I157" s="1" t="str">
        <v>ACTIVE</v>
      </c>
      <c r="J157" s="4" t="n">
        <f>MAX(E157-F157,0)</f>
        <v>24800</v>
      </c>
      <c r="K157" s="6" t="n">
        <f>F157/E157</f>
        <v>0.38</v>
      </c>
    </row>
    <row r="158" ht="23" customHeight="1">
      <c r="A158" s="1" t="str">
        <v>G0157</v>
      </c>
      <c r="B158" s="1" t="str">
        <v>U053</v>
      </c>
      <c r="C158" s="1" t="str">
        <v>RETIREMENT</v>
      </c>
      <c r="D158" s="1" t="str">
        <v>retirement goal 53</v>
      </c>
      <c r="E158" s="4" t="n">
        <v>100000</v>
      </c>
      <c r="F158" s="4" t="n">
        <v>25300</v>
      </c>
      <c r="G158" s="4" t="n">
        <v>150</v>
      </c>
      <c r="H158" s="5" t="n">
        <v>46661</v>
      </c>
      <c r="I158" s="1" t="str">
        <v>ACTIVE</v>
      </c>
      <c r="J158" s="4" t="n">
        <f>MAX(E158-F158,0)</f>
        <v>74700</v>
      </c>
      <c r="K158" s="6" t="n">
        <f>F158/E158</f>
        <v>0.253</v>
      </c>
    </row>
    <row r="159" ht="23" customHeight="1">
      <c r="A159" s="1" t="str">
        <v>G0158</v>
      </c>
      <c r="B159" s="1" t="str">
        <v>U053</v>
      </c>
      <c r="C159" s="1" t="str">
        <v>EMERGENCY</v>
      </c>
      <c r="D159" s="1" t="str">
        <v>emergency goal 53</v>
      </c>
      <c r="E159" s="4" t="n">
        <v>15000</v>
      </c>
      <c r="F159" s="4" t="n">
        <v>10300</v>
      </c>
      <c r="G159" s="4" t="n">
        <v>300</v>
      </c>
      <c r="H159" s="5" t="n">
        <v>47026</v>
      </c>
      <c r="I159" s="1" t="str">
        <v>ACTIVE</v>
      </c>
      <c r="J159" s="4" t="n">
        <f>MAX(E159-F159,0)</f>
        <v>4700</v>
      </c>
      <c r="K159" s="6" t="n">
        <f>F159/E159</f>
        <v>0.6866666666666666</v>
      </c>
    </row>
    <row r="160" ht="23" customHeight="1">
      <c r="A160" s="1" t="str">
        <v>G0159</v>
      </c>
      <c r="B160" s="1" t="str">
        <v>U053</v>
      </c>
      <c r="C160" s="1" t="str">
        <v>COLLEGE</v>
      </c>
      <c r="D160" s="1" t="str">
        <v>college goal 53</v>
      </c>
      <c r="E160" s="4" t="n">
        <v>40000</v>
      </c>
      <c r="F160" s="4" t="n">
        <v>15300</v>
      </c>
      <c r="G160" s="4" t="n">
        <v>450</v>
      </c>
      <c r="H160" s="5" t="n">
        <v>47391</v>
      </c>
      <c r="I160" s="1" t="str">
        <v>ACTIVE</v>
      </c>
      <c r="J160" s="4" t="n">
        <f>MAX(E160-F160,0)</f>
        <v>24700</v>
      </c>
      <c r="K160" s="6" t="n">
        <f>F160/E160</f>
        <v>0.3825</v>
      </c>
    </row>
    <row r="161" ht="23" customHeight="1">
      <c r="A161" s="1" t="str">
        <v>G0160</v>
      </c>
      <c r="B161" s="1" t="str">
        <v>U054</v>
      </c>
      <c r="C161" s="1" t="str">
        <v>RETIREMENT</v>
      </c>
      <c r="D161" s="1" t="str">
        <v>retirement goal 54</v>
      </c>
      <c r="E161" s="4" t="n">
        <v>100000</v>
      </c>
      <c r="F161" s="4" t="n">
        <v>25400</v>
      </c>
      <c r="G161" s="4" t="n">
        <v>150</v>
      </c>
      <c r="H161" s="5" t="n">
        <v>46661</v>
      </c>
      <c r="I161" s="1" t="str">
        <v>ACTIVE</v>
      </c>
      <c r="J161" s="4" t="n">
        <f>MAX(E161-F161,0)</f>
        <v>74600</v>
      </c>
      <c r="K161" s="6" t="n">
        <f>F161/E161</f>
        <v>0.254</v>
      </c>
    </row>
    <row r="162" ht="23" customHeight="1">
      <c r="A162" s="1" t="str">
        <v>G0161</v>
      </c>
      <c r="B162" s="1" t="str">
        <v>U054</v>
      </c>
      <c r="C162" s="1" t="str">
        <v>EMERGENCY</v>
      </c>
      <c r="D162" s="1" t="str">
        <v>emergency goal 54</v>
      </c>
      <c r="E162" s="4" t="n">
        <v>15000</v>
      </c>
      <c r="F162" s="4" t="n">
        <v>10400</v>
      </c>
      <c r="G162" s="4" t="n">
        <v>300</v>
      </c>
      <c r="H162" s="5" t="n">
        <v>47026</v>
      </c>
      <c r="I162" s="1" t="str">
        <v>ACTIVE</v>
      </c>
      <c r="J162" s="4" t="n">
        <f>MAX(E162-F162,0)</f>
        <v>4600</v>
      </c>
      <c r="K162" s="6" t="n">
        <f>F162/E162</f>
        <v>0.6933333333333334</v>
      </c>
    </row>
    <row r="163" ht="23" customHeight="1">
      <c r="A163" s="1" t="str">
        <v>G0162</v>
      </c>
      <c r="B163" s="1" t="str">
        <v>U054</v>
      </c>
      <c r="C163" s="1" t="str">
        <v>COLLEGE</v>
      </c>
      <c r="D163" s="1" t="str">
        <v>college goal 54</v>
      </c>
      <c r="E163" s="4" t="n">
        <v>40000</v>
      </c>
      <c r="F163" s="4" t="n">
        <v>15400</v>
      </c>
      <c r="G163" s="4" t="n">
        <v>450</v>
      </c>
      <c r="H163" s="5" t="n">
        <v>47391</v>
      </c>
      <c r="I163" s="1" t="str">
        <v>ACTIVE</v>
      </c>
      <c r="J163" s="4" t="n">
        <f>MAX(E163-F163,0)</f>
        <v>24600</v>
      </c>
      <c r="K163" s="6" t="n">
        <f>F163/E163</f>
        <v>0.385</v>
      </c>
    </row>
    <row r="164" ht="23" customHeight="1">
      <c r="A164" s="1" t="str">
        <v>G0163</v>
      </c>
      <c r="B164" s="1" t="str">
        <v>U055</v>
      </c>
      <c r="C164" s="1" t="str">
        <v>RETIREMENT</v>
      </c>
      <c r="D164" s="1" t="str">
        <v>retirement goal 55</v>
      </c>
      <c r="E164" s="4" t="n">
        <v>100000</v>
      </c>
      <c r="F164" s="4" t="n">
        <v>25500</v>
      </c>
      <c r="G164" s="4" t="n">
        <v>150</v>
      </c>
      <c r="H164" s="5" t="n">
        <v>46661</v>
      </c>
      <c r="I164" s="1" t="str">
        <v>ACTIVE</v>
      </c>
      <c r="J164" s="4" t="n">
        <f>MAX(E164-F164,0)</f>
        <v>74500</v>
      </c>
      <c r="K164" s="6" t="n">
        <f>F164/E164</f>
        <v>0.255</v>
      </c>
    </row>
    <row r="165" ht="23" customHeight="1">
      <c r="A165" s="1" t="str">
        <v>G0164</v>
      </c>
      <c r="B165" s="1" t="str">
        <v>U055</v>
      </c>
      <c r="C165" s="1" t="str">
        <v>EMERGENCY</v>
      </c>
      <c r="D165" s="1" t="str">
        <v>emergency goal 55</v>
      </c>
      <c r="E165" s="4" t="n">
        <v>15000</v>
      </c>
      <c r="F165" s="4" t="n">
        <v>10500</v>
      </c>
      <c r="G165" s="4" t="n">
        <v>300</v>
      </c>
      <c r="H165" s="5" t="n">
        <v>47026</v>
      </c>
      <c r="I165" s="1" t="str">
        <v>ACTIVE</v>
      </c>
      <c r="J165" s="4" t="n">
        <f>MAX(E165-F165,0)</f>
        <v>4500</v>
      </c>
      <c r="K165" s="6" t="n">
        <f>F165/E165</f>
        <v>0.7</v>
      </c>
    </row>
    <row r="166" ht="23" customHeight="1">
      <c r="A166" s="1" t="str">
        <v>G0165</v>
      </c>
      <c r="B166" s="1" t="str">
        <v>U055</v>
      </c>
      <c r="C166" s="1" t="str">
        <v>COLLEGE</v>
      </c>
      <c r="D166" s="1" t="str">
        <v>college goal 55</v>
      </c>
      <c r="E166" s="4" t="n">
        <v>40000</v>
      </c>
      <c r="F166" s="4" t="n">
        <v>15500</v>
      </c>
      <c r="G166" s="4" t="n">
        <v>450</v>
      </c>
      <c r="H166" s="5" t="n">
        <v>47391</v>
      </c>
      <c r="I166" s="1" t="str">
        <v>ACTIVE</v>
      </c>
      <c r="J166" s="4" t="n">
        <f>MAX(E166-F166,0)</f>
        <v>24500</v>
      </c>
      <c r="K166" s="6" t="n">
        <f>F166/E166</f>
        <v>0.3875</v>
      </c>
    </row>
    <row r="167" ht="23" customHeight="1">
      <c r="A167" s="1" t="str">
        <v>G0166</v>
      </c>
      <c r="B167" s="1" t="str">
        <v>U056</v>
      </c>
      <c r="C167" s="1" t="str">
        <v>RETIREMENT</v>
      </c>
      <c r="D167" s="1" t="str">
        <v>retirement goal 56</v>
      </c>
      <c r="E167" s="4" t="n">
        <v>100000</v>
      </c>
      <c r="F167" s="4" t="n">
        <v>25600</v>
      </c>
      <c r="G167" s="4" t="n">
        <v>150</v>
      </c>
      <c r="H167" s="5" t="n">
        <v>46661</v>
      </c>
      <c r="I167" s="1" t="str">
        <v>ACTIVE</v>
      </c>
      <c r="J167" s="4" t="n">
        <f>MAX(E167-F167,0)</f>
        <v>74400</v>
      </c>
      <c r="K167" s="6" t="n">
        <f>F167/E167</f>
        <v>0.256</v>
      </c>
    </row>
    <row r="168" ht="23" customHeight="1">
      <c r="A168" s="1" t="str">
        <v>G0167</v>
      </c>
      <c r="B168" s="1" t="str">
        <v>U056</v>
      </c>
      <c r="C168" s="1" t="str">
        <v>EMERGENCY</v>
      </c>
      <c r="D168" s="1" t="str">
        <v>emergency goal 56</v>
      </c>
      <c r="E168" s="4" t="n">
        <v>15000</v>
      </c>
      <c r="F168" s="4" t="n">
        <v>10600</v>
      </c>
      <c r="G168" s="4" t="n">
        <v>300</v>
      </c>
      <c r="H168" s="5" t="n">
        <v>47026</v>
      </c>
      <c r="I168" s="1" t="str">
        <v>ACTIVE</v>
      </c>
      <c r="J168" s="4" t="n">
        <f>MAX(E168-F168,0)</f>
        <v>4400</v>
      </c>
      <c r="K168" s="6" t="n">
        <f>F168/E168</f>
        <v>0.7066666666666667</v>
      </c>
    </row>
    <row r="169" ht="23" customHeight="1">
      <c r="A169" s="1" t="str">
        <v>G0168</v>
      </c>
      <c r="B169" s="1" t="str">
        <v>U056</v>
      </c>
      <c r="C169" s="1" t="str">
        <v>COLLEGE</v>
      </c>
      <c r="D169" s="1" t="str">
        <v>college goal 56</v>
      </c>
      <c r="E169" s="4" t="n">
        <v>40000</v>
      </c>
      <c r="F169" s="4" t="n">
        <v>15600</v>
      </c>
      <c r="G169" s="4" t="n">
        <v>450</v>
      </c>
      <c r="H169" s="5" t="n">
        <v>47391</v>
      </c>
      <c r="I169" s="1" t="str">
        <v>ACTIVE</v>
      </c>
      <c r="J169" s="4" t="n">
        <f>MAX(E169-F169,0)</f>
        <v>24400</v>
      </c>
      <c r="K169" s="6" t="n">
        <f>F169/E169</f>
        <v>0.39</v>
      </c>
    </row>
    <row r="170" ht="23" customHeight="1">
      <c r="A170" s="1" t="str">
        <v>G0169</v>
      </c>
      <c r="B170" s="1" t="str">
        <v>U057</v>
      </c>
      <c r="C170" s="1" t="str">
        <v>RETIREMENT</v>
      </c>
      <c r="D170" s="1" t="str">
        <v>retirement goal 57</v>
      </c>
      <c r="E170" s="4" t="n">
        <v>100000</v>
      </c>
      <c r="F170" s="4" t="n">
        <v>25700</v>
      </c>
      <c r="G170" s="4" t="n">
        <v>150</v>
      </c>
      <c r="H170" s="5" t="n">
        <v>46661</v>
      </c>
      <c r="I170" s="1" t="str">
        <v>ACTIVE</v>
      </c>
      <c r="J170" s="4" t="n">
        <f>MAX(E170-F170,0)</f>
        <v>74300</v>
      </c>
      <c r="K170" s="6" t="n">
        <f>F170/E170</f>
        <v>0.257</v>
      </c>
    </row>
    <row r="171" ht="23" customHeight="1">
      <c r="A171" s="1" t="str">
        <v>G0170</v>
      </c>
      <c r="B171" s="1" t="str">
        <v>U057</v>
      </c>
      <c r="C171" s="1" t="str">
        <v>EMERGENCY</v>
      </c>
      <c r="D171" s="1" t="str">
        <v>emergency goal 57</v>
      </c>
      <c r="E171" s="4" t="n">
        <v>15000</v>
      </c>
      <c r="F171" s="4" t="n">
        <v>10700</v>
      </c>
      <c r="G171" s="4" t="n">
        <v>300</v>
      </c>
      <c r="H171" s="5" t="n">
        <v>47026</v>
      </c>
      <c r="I171" s="1" t="str">
        <v>ACTIVE</v>
      </c>
      <c r="J171" s="4" t="n">
        <f>MAX(E171-F171,0)</f>
        <v>4300</v>
      </c>
      <c r="K171" s="6" t="n">
        <f>F171/E171</f>
        <v>0.7133333333333334</v>
      </c>
    </row>
    <row r="172" ht="23" customHeight="1">
      <c r="A172" s="1" t="str">
        <v>G0171</v>
      </c>
      <c r="B172" s="1" t="str">
        <v>U057</v>
      </c>
      <c r="C172" s="1" t="str">
        <v>COLLEGE</v>
      </c>
      <c r="D172" s="1" t="str">
        <v>college goal 57</v>
      </c>
      <c r="E172" s="4" t="n">
        <v>40000</v>
      </c>
      <c r="F172" s="4" t="n">
        <v>15700</v>
      </c>
      <c r="G172" s="4" t="n">
        <v>450</v>
      </c>
      <c r="H172" s="5" t="n">
        <v>47391</v>
      </c>
      <c r="I172" s="1" t="str">
        <v>ACTIVE</v>
      </c>
      <c r="J172" s="4" t="n">
        <f>MAX(E172-F172,0)</f>
        <v>24300</v>
      </c>
      <c r="K172" s="6" t="n">
        <f>F172/E172</f>
        <v>0.3925</v>
      </c>
    </row>
    <row r="173" ht="23" customHeight="1">
      <c r="A173" s="1" t="str">
        <v>G0172</v>
      </c>
      <c r="B173" s="1" t="str">
        <v>U058</v>
      </c>
      <c r="C173" s="1" t="str">
        <v>RETIREMENT</v>
      </c>
      <c r="D173" s="1" t="str">
        <v>retirement goal 58</v>
      </c>
      <c r="E173" s="4" t="n">
        <v>100000</v>
      </c>
      <c r="F173" s="4" t="n">
        <v>25800</v>
      </c>
      <c r="G173" s="4" t="n">
        <v>150</v>
      </c>
      <c r="H173" s="5" t="n">
        <v>46661</v>
      </c>
      <c r="I173" s="1" t="str">
        <v>ACTIVE</v>
      </c>
      <c r="J173" s="4" t="n">
        <f>MAX(E173-F173,0)</f>
        <v>74200</v>
      </c>
      <c r="K173" s="6" t="n">
        <f>F173/E173</f>
        <v>0.258</v>
      </c>
    </row>
    <row r="174" ht="23" customHeight="1">
      <c r="A174" s="1" t="str">
        <v>G0173</v>
      </c>
      <c r="B174" s="1" t="str">
        <v>U058</v>
      </c>
      <c r="C174" s="1" t="str">
        <v>EMERGENCY</v>
      </c>
      <c r="D174" s="1" t="str">
        <v>emergency goal 58</v>
      </c>
      <c r="E174" s="4" t="n">
        <v>15000</v>
      </c>
      <c r="F174" s="4" t="n">
        <v>10800</v>
      </c>
      <c r="G174" s="4" t="n">
        <v>300</v>
      </c>
      <c r="H174" s="5" t="n">
        <v>47026</v>
      </c>
      <c r="I174" s="1" t="str">
        <v>ACTIVE</v>
      </c>
      <c r="J174" s="4" t="n">
        <f>MAX(E174-F174,0)</f>
        <v>4200</v>
      </c>
      <c r="K174" s="6" t="n">
        <f>F174/E174</f>
        <v>0.72</v>
      </c>
    </row>
    <row r="175" ht="23" customHeight="1">
      <c r="A175" s="1" t="str">
        <v>G0174</v>
      </c>
      <c r="B175" s="1" t="str">
        <v>U058</v>
      </c>
      <c r="C175" s="1" t="str">
        <v>COLLEGE</v>
      </c>
      <c r="D175" s="1" t="str">
        <v>college goal 58</v>
      </c>
      <c r="E175" s="4" t="n">
        <v>40000</v>
      </c>
      <c r="F175" s="4" t="n">
        <v>15800</v>
      </c>
      <c r="G175" s="4" t="n">
        <v>450</v>
      </c>
      <c r="H175" s="5" t="n">
        <v>47391</v>
      </c>
      <c r="I175" s="1" t="str">
        <v>ACTIVE</v>
      </c>
      <c r="J175" s="4" t="n">
        <f>MAX(E175-F175,0)</f>
        <v>24200</v>
      </c>
      <c r="K175" s="6" t="n">
        <f>F175/E175</f>
        <v>0.395</v>
      </c>
    </row>
    <row r="176" ht="23" customHeight="1">
      <c r="A176" s="1" t="str">
        <v>G0175</v>
      </c>
      <c r="B176" s="1" t="str">
        <v>U059</v>
      </c>
      <c r="C176" s="1" t="str">
        <v>RETIREMENT</v>
      </c>
      <c r="D176" s="1" t="str">
        <v>retirement goal 59</v>
      </c>
      <c r="E176" s="4" t="n">
        <v>100000</v>
      </c>
      <c r="F176" s="4" t="n">
        <v>25900</v>
      </c>
      <c r="G176" s="4" t="n">
        <v>150</v>
      </c>
      <c r="H176" s="5" t="n">
        <v>46661</v>
      </c>
      <c r="I176" s="1" t="str">
        <v>ACTIVE</v>
      </c>
      <c r="J176" s="4" t="n">
        <f>MAX(E176-F176,0)</f>
        <v>74100</v>
      </c>
      <c r="K176" s="6" t="n">
        <f>F176/E176</f>
        <v>0.259</v>
      </c>
    </row>
    <row r="177" ht="23" customHeight="1">
      <c r="A177" s="1" t="str">
        <v>G0176</v>
      </c>
      <c r="B177" s="1" t="str">
        <v>U059</v>
      </c>
      <c r="C177" s="1" t="str">
        <v>EMERGENCY</v>
      </c>
      <c r="D177" s="1" t="str">
        <v>emergency goal 59</v>
      </c>
      <c r="E177" s="4" t="n">
        <v>15000</v>
      </c>
      <c r="F177" s="4" t="n">
        <v>10900</v>
      </c>
      <c r="G177" s="4" t="n">
        <v>300</v>
      </c>
      <c r="H177" s="5" t="n">
        <v>47026</v>
      </c>
      <c r="I177" s="1" t="str">
        <v>ACTIVE</v>
      </c>
      <c r="J177" s="4" t="n">
        <f>MAX(E177-F177,0)</f>
        <v>4100</v>
      </c>
      <c r="K177" s="6" t="n">
        <f>F177/E177</f>
        <v>0.7266666666666667</v>
      </c>
    </row>
    <row r="178" ht="23" customHeight="1">
      <c r="A178" s="1" t="str">
        <v>G0177</v>
      </c>
      <c r="B178" s="1" t="str">
        <v>U059</v>
      </c>
      <c r="C178" s="1" t="str">
        <v>COLLEGE</v>
      </c>
      <c r="D178" s="1" t="str">
        <v>college goal 59</v>
      </c>
      <c r="E178" s="4" t="n">
        <v>40000</v>
      </c>
      <c r="F178" s="4" t="n">
        <v>15900</v>
      </c>
      <c r="G178" s="4" t="n">
        <v>450</v>
      </c>
      <c r="H178" s="5" t="n">
        <v>47391</v>
      </c>
      <c r="I178" s="1" t="str">
        <v>ACTIVE</v>
      </c>
      <c r="J178" s="4" t="n">
        <f>MAX(E178-F178,0)</f>
        <v>24100</v>
      </c>
      <c r="K178" s="6" t="n">
        <f>F178/E178</f>
        <v>0.3975</v>
      </c>
    </row>
    <row r="179" ht="23" customHeight="1">
      <c r="A179" s="1" t="str">
        <v>G0178</v>
      </c>
      <c r="B179" s="1" t="str">
        <v>U060</v>
      </c>
      <c r="C179" s="1" t="str">
        <v>RETIREMENT</v>
      </c>
      <c r="D179" s="1" t="str">
        <v>retirement goal 60</v>
      </c>
      <c r="E179" s="4" t="n">
        <v>100000</v>
      </c>
      <c r="F179" s="4" t="n">
        <v>26000</v>
      </c>
      <c r="G179" s="4" t="n">
        <v>150</v>
      </c>
      <c r="H179" s="5" t="n">
        <v>46661</v>
      </c>
      <c r="I179" s="1" t="str">
        <v>ACTIVE</v>
      </c>
      <c r="J179" s="4" t="n">
        <f>MAX(E179-F179,0)</f>
        <v>74000</v>
      </c>
      <c r="K179" s="6" t="n">
        <f>F179/E179</f>
        <v>0.26</v>
      </c>
    </row>
    <row r="180" ht="23" customHeight="1">
      <c r="A180" s="1" t="str">
        <v>G0179</v>
      </c>
      <c r="B180" s="1" t="str">
        <v>U060</v>
      </c>
      <c r="C180" s="1" t="str">
        <v>EMERGENCY</v>
      </c>
      <c r="D180" s="1" t="str">
        <v>emergency goal 60</v>
      </c>
      <c r="E180" s="4" t="n">
        <v>15000</v>
      </c>
      <c r="F180" s="4" t="n">
        <v>11000</v>
      </c>
      <c r="G180" s="4" t="n">
        <v>300</v>
      </c>
      <c r="H180" s="5" t="n">
        <v>47026</v>
      </c>
      <c r="I180" s="1" t="str">
        <v>ACTIVE</v>
      </c>
      <c r="J180" s="4" t="n">
        <f>MAX(E180-F180,0)</f>
        <v>4000</v>
      </c>
      <c r="K180" s="6" t="n">
        <f>F180/E180</f>
        <v>0.7333333333333333</v>
      </c>
    </row>
    <row r="181" ht="23" customHeight="1">
      <c r="A181" s="1" t="str">
        <v>G0180</v>
      </c>
      <c r="B181" s="1" t="str">
        <v>U060</v>
      </c>
      <c r="C181" s="1" t="str">
        <v>COLLEGE</v>
      </c>
      <c r="D181" s="1" t="str">
        <v>college goal 60</v>
      </c>
      <c r="E181" s="4" t="n">
        <v>40000</v>
      </c>
      <c r="F181" s="4" t="n">
        <v>16000</v>
      </c>
      <c r="G181" s="4" t="n">
        <v>450</v>
      </c>
      <c r="H181" s="5" t="n">
        <v>47391</v>
      </c>
      <c r="I181" s="1" t="str">
        <v>ACTIVE</v>
      </c>
      <c r="J181" s="4" t="n">
        <f>MAX(E181-F181,0)</f>
        <v>24000</v>
      </c>
      <c r="K181" s="6" t="n">
        <f>F181/E181</f>
        <v>0.4</v>
      </c>
    </row>
    <row r="182" ht="23" customHeight="1">
      <c r="A182" s="1" t="str">
        <v>G0181</v>
      </c>
      <c r="B182" s="1" t="str">
        <v>U061</v>
      </c>
      <c r="C182" s="1" t="str">
        <v>RETIREMENT</v>
      </c>
      <c r="D182" s="1" t="str">
        <v>retirement goal 61</v>
      </c>
      <c r="E182" s="4" t="n">
        <v>100000</v>
      </c>
      <c r="F182" s="4" t="n">
        <v>26100</v>
      </c>
      <c r="G182" s="4" t="n">
        <v>150</v>
      </c>
      <c r="H182" s="5" t="n">
        <v>46661</v>
      </c>
      <c r="I182" s="1" t="str">
        <v>ACTIVE</v>
      </c>
      <c r="J182" s="4" t="n">
        <f>MAX(E182-F182,0)</f>
        <v>73900</v>
      </c>
      <c r="K182" s="6" t="n">
        <f>F182/E182</f>
        <v>0.261</v>
      </c>
    </row>
    <row r="183" ht="23" customHeight="1">
      <c r="A183" s="1" t="str">
        <v>G0182</v>
      </c>
      <c r="B183" s="1" t="str">
        <v>U061</v>
      </c>
      <c r="C183" s="1" t="str">
        <v>EMERGENCY</v>
      </c>
      <c r="D183" s="1" t="str">
        <v>emergency goal 61</v>
      </c>
      <c r="E183" s="4" t="n">
        <v>15000</v>
      </c>
      <c r="F183" s="4" t="n">
        <v>11100</v>
      </c>
      <c r="G183" s="4" t="n">
        <v>300</v>
      </c>
      <c r="H183" s="5" t="n">
        <v>47026</v>
      </c>
      <c r="I183" s="1" t="str">
        <v>ACTIVE</v>
      </c>
      <c r="J183" s="4" t="n">
        <f>MAX(E183-F183,0)</f>
        <v>3900</v>
      </c>
      <c r="K183" s="6" t="n">
        <f>F183/E183</f>
        <v>0.74</v>
      </c>
    </row>
    <row r="184" ht="23" customHeight="1">
      <c r="A184" s="1" t="str">
        <v>G0183</v>
      </c>
      <c r="B184" s="1" t="str">
        <v>U061</v>
      </c>
      <c r="C184" s="1" t="str">
        <v>COLLEGE</v>
      </c>
      <c r="D184" s="1" t="str">
        <v>college goal 61</v>
      </c>
      <c r="E184" s="4" t="n">
        <v>40000</v>
      </c>
      <c r="F184" s="4" t="n">
        <v>16100</v>
      </c>
      <c r="G184" s="4" t="n">
        <v>450</v>
      </c>
      <c r="H184" s="5" t="n">
        <v>47391</v>
      </c>
      <c r="I184" s="1" t="str">
        <v>ACTIVE</v>
      </c>
      <c r="J184" s="4" t="n">
        <f>MAX(E184-F184,0)</f>
        <v>23900</v>
      </c>
      <c r="K184" s="6" t="n">
        <f>F184/E184</f>
        <v>0.4025</v>
      </c>
    </row>
    <row r="185" ht="23" customHeight="1">
      <c r="A185" s="1" t="str">
        <v>G0184</v>
      </c>
      <c r="B185" s="1" t="str">
        <v>U062</v>
      </c>
      <c r="C185" s="1" t="str">
        <v>RETIREMENT</v>
      </c>
      <c r="D185" s="1" t="str">
        <v>retirement goal 62</v>
      </c>
      <c r="E185" s="4" t="n">
        <v>100000</v>
      </c>
      <c r="F185" s="4" t="n">
        <v>26200</v>
      </c>
      <c r="G185" s="4" t="n">
        <v>150</v>
      </c>
      <c r="H185" s="5" t="n">
        <v>46661</v>
      </c>
      <c r="I185" s="1" t="str">
        <v>ACTIVE</v>
      </c>
      <c r="J185" s="4" t="n">
        <f>MAX(E185-F185,0)</f>
        <v>73800</v>
      </c>
      <c r="K185" s="6" t="n">
        <f>F185/E185</f>
        <v>0.262</v>
      </c>
    </row>
    <row r="186" ht="23" customHeight="1">
      <c r="A186" s="1" t="str">
        <v>G0185</v>
      </c>
      <c r="B186" s="1" t="str">
        <v>U062</v>
      </c>
      <c r="C186" s="1" t="str">
        <v>EMERGENCY</v>
      </c>
      <c r="D186" s="1" t="str">
        <v>emergency goal 62</v>
      </c>
      <c r="E186" s="4" t="n">
        <v>15000</v>
      </c>
      <c r="F186" s="4" t="n">
        <v>11200</v>
      </c>
      <c r="G186" s="4" t="n">
        <v>300</v>
      </c>
      <c r="H186" s="5" t="n">
        <v>47026</v>
      </c>
      <c r="I186" s="1" t="str">
        <v>ACTIVE</v>
      </c>
      <c r="J186" s="4" t="n">
        <f>MAX(E186-F186,0)</f>
        <v>3800</v>
      </c>
      <c r="K186" s="6" t="n">
        <f>F186/E186</f>
        <v>0.7466666666666667</v>
      </c>
    </row>
    <row r="187" ht="23" customHeight="1">
      <c r="A187" s="1" t="str">
        <v>G0186</v>
      </c>
      <c r="B187" s="1" t="str">
        <v>U062</v>
      </c>
      <c r="C187" s="1" t="str">
        <v>COLLEGE</v>
      </c>
      <c r="D187" s="1" t="str">
        <v>college goal 62</v>
      </c>
      <c r="E187" s="4" t="n">
        <v>40000</v>
      </c>
      <c r="F187" s="4" t="n">
        <v>16200</v>
      </c>
      <c r="G187" s="4" t="n">
        <v>450</v>
      </c>
      <c r="H187" s="5" t="n">
        <v>47391</v>
      </c>
      <c r="I187" s="1" t="str">
        <v>ACTIVE</v>
      </c>
      <c r="J187" s="4" t="n">
        <f>MAX(E187-F187,0)</f>
        <v>23800</v>
      </c>
      <c r="K187" s="6" t="n">
        <f>F187/E187</f>
        <v>0.405</v>
      </c>
    </row>
    <row r="188" ht="23" customHeight="1">
      <c r="A188" s="1" t="str">
        <v>G0187</v>
      </c>
      <c r="B188" s="1" t="str">
        <v>U063</v>
      </c>
      <c r="C188" s="1" t="str">
        <v>RETIREMENT</v>
      </c>
      <c r="D188" s="1" t="str">
        <v>retirement goal 63</v>
      </c>
      <c r="E188" s="4" t="n">
        <v>100000</v>
      </c>
      <c r="F188" s="4" t="n">
        <v>26300</v>
      </c>
      <c r="G188" s="4" t="n">
        <v>150</v>
      </c>
      <c r="H188" s="5" t="n">
        <v>46661</v>
      </c>
      <c r="I188" s="1" t="str">
        <v>ACTIVE</v>
      </c>
      <c r="J188" s="4" t="n">
        <f>MAX(E188-F188,0)</f>
        <v>73700</v>
      </c>
      <c r="K188" s="6" t="n">
        <f>F188/E188</f>
        <v>0.263</v>
      </c>
    </row>
    <row r="189" ht="23" customHeight="1">
      <c r="A189" s="1" t="str">
        <v>G0188</v>
      </c>
      <c r="B189" s="1" t="str">
        <v>U063</v>
      </c>
      <c r="C189" s="1" t="str">
        <v>EMERGENCY</v>
      </c>
      <c r="D189" s="1" t="str">
        <v>emergency goal 63</v>
      </c>
      <c r="E189" s="4" t="n">
        <v>15000</v>
      </c>
      <c r="F189" s="4" t="n">
        <v>11300</v>
      </c>
      <c r="G189" s="4" t="n">
        <v>300</v>
      </c>
      <c r="H189" s="5" t="n">
        <v>47026</v>
      </c>
      <c r="I189" s="1" t="str">
        <v>ACTIVE</v>
      </c>
      <c r="J189" s="4" t="n">
        <f>MAX(E189-F189,0)</f>
        <v>3700</v>
      </c>
      <c r="K189" s="6" t="n">
        <f>F189/E189</f>
        <v>0.7533333333333333</v>
      </c>
    </row>
    <row r="190" ht="23" customHeight="1">
      <c r="A190" s="1" t="str">
        <v>G0189</v>
      </c>
      <c r="B190" s="1" t="str">
        <v>U063</v>
      </c>
      <c r="C190" s="1" t="str">
        <v>COLLEGE</v>
      </c>
      <c r="D190" s="1" t="str">
        <v>college goal 63</v>
      </c>
      <c r="E190" s="4" t="n">
        <v>40000</v>
      </c>
      <c r="F190" s="4" t="n">
        <v>16300</v>
      </c>
      <c r="G190" s="4" t="n">
        <v>450</v>
      </c>
      <c r="H190" s="5" t="n">
        <v>47391</v>
      </c>
      <c r="I190" s="1" t="str">
        <v>ACTIVE</v>
      </c>
      <c r="J190" s="4" t="n">
        <f>MAX(E190-F190,0)</f>
        <v>23700</v>
      </c>
      <c r="K190" s="6" t="n">
        <f>F190/E190</f>
        <v>0.4075</v>
      </c>
    </row>
    <row r="191" ht="23" customHeight="1">
      <c r="A191" s="1" t="str">
        <v>G0190</v>
      </c>
      <c r="B191" s="1" t="str">
        <v>U064</v>
      </c>
      <c r="C191" s="1" t="str">
        <v>RETIREMENT</v>
      </c>
      <c r="D191" s="1" t="str">
        <v>retirement goal 64</v>
      </c>
      <c r="E191" s="4" t="n">
        <v>100000</v>
      </c>
      <c r="F191" s="4" t="n">
        <v>26400</v>
      </c>
      <c r="G191" s="4" t="n">
        <v>150</v>
      </c>
      <c r="H191" s="5" t="n">
        <v>46661</v>
      </c>
      <c r="I191" s="1" t="str">
        <v>ACTIVE</v>
      </c>
      <c r="J191" s="4" t="n">
        <f>MAX(E191-F191,0)</f>
        <v>73600</v>
      </c>
      <c r="K191" s="6" t="n">
        <f>F191/E191</f>
        <v>0.264</v>
      </c>
    </row>
    <row r="192" ht="23" customHeight="1">
      <c r="A192" s="1" t="str">
        <v>G0191</v>
      </c>
      <c r="B192" s="1" t="str">
        <v>U064</v>
      </c>
      <c r="C192" s="1" t="str">
        <v>EMERGENCY</v>
      </c>
      <c r="D192" s="1" t="str">
        <v>emergency goal 64</v>
      </c>
      <c r="E192" s="4" t="n">
        <v>15000</v>
      </c>
      <c r="F192" s="4" t="n">
        <v>11400</v>
      </c>
      <c r="G192" s="4" t="n">
        <v>300</v>
      </c>
      <c r="H192" s="5" t="n">
        <v>47026</v>
      </c>
      <c r="I192" s="1" t="str">
        <v>ACTIVE</v>
      </c>
      <c r="J192" s="4" t="n">
        <f>MAX(E192-F192,0)</f>
        <v>3600</v>
      </c>
      <c r="K192" s="6" t="n">
        <f>F192/E192</f>
        <v>0.76</v>
      </c>
    </row>
    <row r="193" ht="23" customHeight="1">
      <c r="A193" s="1" t="str">
        <v>G0192</v>
      </c>
      <c r="B193" s="1" t="str">
        <v>U064</v>
      </c>
      <c r="C193" s="1" t="str">
        <v>COLLEGE</v>
      </c>
      <c r="D193" s="1" t="str">
        <v>college goal 64</v>
      </c>
      <c r="E193" s="4" t="n">
        <v>40000</v>
      </c>
      <c r="F193" s="4" t="n">
        <v>16400</v>
      </c>
      <c r="G193" s="4" t="n">
        <v>450</v>
      </c>
      <c r="H193" s="5" t="n">
        <v>47391</v>
      </c>
      <c r="I193" s="1" t="str">
        <v>ACTIVE</v>
      </c>
      <c r="J193" s="4" t="n">
        <f>MAX(E193-F193,0)</f>
        <v>23600</v>
      </c>
      <c r="K193" s="6" t="n">
        <f>F193/E193</f>
        <v>0.41</v>
      </c>
    </row>
    <row r="194" ht="23" customHeight="1">
      <c r="A194" s="1" t="str">
        <v>G0193</v>
      </c>
      <c r="B194" s="1" t="str">
        <v>U065</v>
      </c>
      <c r="C194" s="1" t="str">
        <v>RETIREMENT</v>
      </c>
      <c r="D194" s="1" t="str">
        <v>retirement goal 65</v>
      </c>
      <c r="E194" s="4" t="n">
        <v>100000</v>
      </c>
      <c r="F194" s="4" t="n">
        <v>26500</v>
      </c>
      <c r="G194" s="4" t="n">
        <v>150</v>
      </c>
      <c r="H194" s="5" t="n">
        <v>46661</v>
      </c>
      <c r="I194" s="1" t="str">
        <v>ACTIVE</v>
      </c>
      <c r="J194" s="4" t="n">
        <f>MAX(E194-F194,0)</f>
        <v>73500</v>
      </c>
      <c r="K194" s="6" t="n">
        <f>F194/E194</f>
        <v>0.265</v>
      </c>
    </row>
    <row r="195" ht="23" customHeight="1">
      <c r="A195" s="1" t="str">
        <v>G0194</v>
      </c>
      <c r="B195" s="1" t="str">
        <v>U065</v>
      </c>
      <c r="C195" s="1" t="str">
        <v>EMERGENCY</v>
      </c>
      <c r="D195" s="1" t="str">
        <v>emergency goal 65</v>
      </c>
      <c r="E195" s="4" t="n">
        <v>15000</v>
      </c>
      <c r="F195" s="4" t="n">
        <v>11500</v>
      </c>
      <c r="G195" s="4" t="n">
        <v>300</v>
      </c>
      <c r="H195" s="5" t="n">
        <v>47026</v>
      </c>
      <c r="I195" s="1" t="str">
        <v>ACTIVE</v>
      </c>
      <c r="J195" s="4" t="n">
        <f>MAX(E195-F195,0)</f>
        <v>3500</v>
      </c>
      <c r="K195" s="6" t="n">
        <f>F195/E195</f>
        <v>0.7666666666666667</v>
      </c>
    </row>
    <row r="196" ht="23" customHeight="1">
      <c r="A196" s="1" t="str">
        <v>G0195</v>
      </c>
      <c r="B196" s="1" t="str">
        <v>U065</v>
      </c>
      <c r="C196" s="1" t="str">
        <v>COLLEGE</v>
      </c>
      <c r="D196" s="1" t="str">
        <v>college goal 65</v>
      </c>
      <c r="E196" s="4" t="n">
        <v>40000</v>
      </c>
      <c r="F196" s="4" t="n">
        <v>16500</v>
      </c>
      <c r="G196" s="4" t="n">
        <v>450</v>
      </c>
      <c r="H196" s="5" t="n">
        <v>47391</v>
      </c>
      <c r="I196" s="1" t="str">
        <v>ACTIVE</v>
      </c>
      <c r="J196" s="4" t="n">
        <f>MAX(E196-F196,0)</f>
        <v>23500</v>
      </c>
      <c r="K196" s="6" t="n">
        <f>F196/E196</f>
        <v>0.4125</v>
      </c>
    </row>
    <row r="197" ht="23" customHeight="1">
      <c r="A197" s="1" t="str">
        <v>G0196</v>
      </c>
      <c r="B197" s="1" t="str">
        <v>U066</v>
      </c>
      <c r="C197" s="1" t="str">
        <v>RETIREMENT</v>
      </c>
      <c r="D197" s="1" t="str">
        <v>retirement goal 66</v>
      </c>
      <c r="E197" s="4" t="n">
        <v>100000</v>
      </c>
      <c r="F197" s="4" t="n">
        <v>26600</v>
      </c>
      <c r="G197" s="4" t="n">
        <v>150</v>
      </c>
      <c r="H197" s="5" t="n">
        <v>46661</v>
      </c>
      <c r="I197" s="1" t="str">
        <v>ACTIVE</v>
      </c>
      <c r="J197" s="4" t="n">
        <f>MAX(E197-F197,0)</f>
        <v>73400</v>
      </c>
      <c r="K197" s="6" t="n">
        <f>F197/E197</f>
        <v>0.266</v>
      </c>
    </row>
    <row r="198" ht="23" customHeight="1">
      <c r="A198" s="1" t="str">
        <v>G0197</v>
      </c>
      <c r="B198" s="1" t="str">
        <v>U066</v>
      </c>
      <c r="C198" s="1" t="str">
        <v>EMERGENCY</v>
      </c>
      <c r="D198" s="1" t="str">
        <v>emergency goal 66</v>
      </c>
      <c r="E198" s="4" t="n">
        <v>15000</v>
      </c>
      <c r="F198" s="4" t="n">
        <v>11600</v>
      </c>
      <c r="G198" s="4" t="n">
        <v>300</v>
      </c>
      <c r="H198" s="5" t="n">
        <v>47026</v>
      </c>
      <c r="I198" s="1" t="str">
        <v>ACTIVE</v>
      </c>
      <c r="J198" s="4" t="n">
        <f>MAX(E198-F198,0)</f>
        <v>3400</v>
      </c>
      <c r="K198" s="6" t="n">
        <f>F198/E198</f>
        <v>0.7733333333333333</v>
      </c>
    </row>
    <row r="199" ht="23" customHeight="1">
      <c r="A199" s="1" t="str">
        <v>G0198</v>
      </c>
      <c r="B199" s="1" t="str">
        <v>U066</v>
      </c>
      <c r="C199" s="1" t="str">
        <v>COLLEGE</v>
      </c>
      <c r="D199" s="1" t="str">
        <v>college goal 66</v>
      </c>
      <c r="E199" s="4" t="n">
        <v>40000</v>
      </c>
      <c r="F199" s="4" t="n">
        <v>16600</v>
      </c>
      <c r="G199" s="4" t="n">
        <v>450</v>
      </c>
      <c r="H199" s="5" t="n">
        <v>47391</v>
      </c>
      <c r="I199" s="1" t="str">
        <v>ACTIVE</v>
      </c>
      <c r="J199" s="4" t="n">
        <f>MAX(E199-F199,0)</f>
        <v>23400</v>
      </c>
      <c r="K199" s="6" t="n">
        <f>F199/E199</f>
        <v>0.415</v>
      </c>
    </row>
    <row r="200" ht="23" customHeight="1">
      <c r="A200" s="1" t="str">
        <v>G0199</v>
      </c>
      <c r="B200" s="1" t="str">
        <v>U067</v>
      </c>
      <c r="C200" s="1" t="str">
        <v>RETIREMENT</v>
      </c>
      <c r="D200" s="1" t="str">
        <v>retirement goal 67</v>
      </c>
      <c r="E200" s="4" t="n">
        <v>100000</v>
      </c>
      <c r="F200" s="4" t="n">
        <v>26700</v>
      </c>
      <c r="G200" s="4" t="n">
        <v>150</v>
      </c>
      <c r="H200" s="5" t="n">
        <v>46661</v>
      </c>
      <c r="I200" s="1" t="str">
        <v>ACTIVE</v>
      </c>
      <c r="J200" s="4" t="n">
        <f>MAX(E200-F200,0)</f>
        <v>73300</v>
      </c>
      <c r="K200" s="6" t="n">
        <f>F200/E200</f>
        <v>0.267</v>
      </c>
    </row>
    <row r="201" ht="23" customHeight="1">
      <c r="A201" s="1" t="str">
        <v>G0200</v>
      </c>
      <c r="B201" s="1" t="str">
        <v>U067</v>
      </c>
      <c r="C201" s="1" t="str">
        <v>EMERGENCY</v>
      </c>
      <c r="D201" s="1" t="str">
        <v>emergency goal 67</v>
      </c>
      <c r="E201" s="4" t="n">
        <v>15000</v>
      </c>
      <c r="F201" s="4" t="n">
        <v>11700</v>
      </c>
      <c r="G201" s="4" t="n">
        <v>300</v>
      </c>
      <c r="H201" s="5" t="n">
        <v>47026</v>
      </c>
      <c r="I201" s="1" t="str">
        <v>ACTIVE</v>
      </c>
      <c r="J201" s="4" t="n">
        <f>MAX(E201-F201,0)</f>
        <v>3300</v>
      </c>
      <c r="K201" s="6" t="n">
        <f>F201/E201</f>
        <v>0.78</v>
      </c>
    </row>
    <row r="202" ht="23" customHeight="1">
      <c r="A202" s="1" t="str">
        <v>G0201</v>
      </c>
      <c r="B202" s="1" t="str">
        <v>U067</v>
      </c>
      <c r="C202" s="1" t="str">
        <v>COLLEGE</v>
      </c>
      <c r="D202" s="1" t="str">
        <v>college goal 67</v>
      </c>
      <c r="E202" s="4" t="n">
        <v>40000</v>
      </c>
      <c r="F202" s="4" t="n">
        <v>16700</v>
      </c>
      <c r="G202" s="4" t="n">
        <v>450</v>
      </c>
      <c r="H202" s="5" t="n">
        <v>47391</v>
      </c>
      <c r="I202" s="1" t="str">
        <v>ACTIVE</v>
      </c>
      <c r="J202" s="4" t="n">
        <f>MAX(E202-F202,0)</f>
        <v>23300</v>
      </c>
      <c r="K202" s="6" t="n">
        <f>F202/E202</f>
        <v>0.4175</v>
      </c>
    </row>
    <row r="203" ht="23" customHeight="1">
      <c r="A203" s="1" t="str">
        <v>G0202</v>
      </c>
      <c r="B203" s="1" t="str">
        <v>U068</v>
      </c>
      <c r="C203" s="1" t="str">
        <v>RETIREMENT</v>
      </c>
      <c r="D203" s="1" t="str">
        <v>retirement goal 68</v>
      </c>
      <c r="E203" s="4" t="n">
        <v>100000</v>
      </c>
      <c r="F203" s="4" t="n">
        <v>26800</v>
      </c>
      <c r="G203" s="4" t="n">
        <v>150</v>
      </c>
      <c r="H203" s="5" t="n">
        <v>46661</v>
      </c>
      <c r="I203" s="1" t="str">
        <v>ACTIVE</v>
      </c>
      <c r="J203" s="4" t="n">
        <f>MAX(E203-F203,0)</f>
        <v>73200</v>
      </c>
      <c r="K203" s="6" t="n">
        <f>F203/E203</f>
        <v>0.268</v>
      </c>
    </row>
    <row r="204" ht="23" customHeight="1">
      <c r="A204" s="1" t="str">
        <v>G0203</v>
      </c>
      <c r="B204" s="1" t="str">
        <v>U068</v>
      </c>
      <c r="C204" s="1" t="str">
        <v>EMERGENCY</v>
      </c>
      <c r="D204" s="1" t="str">
        <v>emergency goal 68</v>
      </c>
      <c r="E204" s="4" t="n">
        <v>15000</v>
      </c>
      <c r="F204" s="4" t="n">
        <v>11800</v>
      </c>
      <c r="G204" s="4" t="n">
        <v>300</v>
      </c>
      <c r="H204" s="5" t="n">
        <v>47026</v>
      </c>
      <c r="I204" s="1" t="str">
        <v>ACTIVE</v>
      </c>
      <c r="J204" s="4" t="n">
        <f>MAX(E204-F204,0)</f>
        <v>3200</v>
      </c>
      <c r="K204" s="6" t="n">
        <f>F204/E204</f>
        <v>0.7866666666666666</v>
      </c>
    </row>
    <row r="205" ht="23" customHeight="1">
      <c r="A205" s="1" t="str">
        <v>G0204</v>
      </c>
      <c r="B205" s="1" t="str">
        <v>U068</v>
      </c>
      <c r="C205" s="1" t="str">
        <v>COLLEGE</v>
      </c>
      <c r="D205" s="1" t="str">
        <v>college goal 68</v>
      </c>
      <c r="E205" s="4" t="n">
        <v>40000</v>
      </c>
      <c r="F205" s="4" t="n">
        <v>16800</v>
      </c>
      <c r="G205" s="4" t="n">
        <v>450</v>
      </c>
      <c r="H205" s="5" t="n">
        <v>47391</v>
      </c>
      <c r="I205" s="1" t="str">
        <v>ACTIVE</v>
      </c>
      <c r="J205" s="4" t="n">
        <f>MAX(E205-F205,0)</f>
        <v>23200</v>
      </c>
      <c r="K205" s="6" t="n">
        <f>F205/E205</f>
        <v>0.42</v>
      </c>
    </row>
    <row r="206" ht="23" customHeight="1">
      <c r="A206" s="1" t="str">
        <v>G0205</v>
      </c>
      <c r="B206" s="1" t="str">
        <v>U069</v>
      </c>
      <c r="C206" s="1" t="str">
        <v>RETIREMENT</v>
      </c>
      <c r="D206" s="1" t="str">
        <v>retirement goal 69</v>
      </c>
      <c r="E206" s="4" t="n">
        <v>100000</v>
      </c>
      <c r="F206" s="4" t="n">
        <v>26900</v>
      </c>
      <c r="G206" s="4" t="n">
        <v>150</v>
      </c>
      <c r="H206" s="5" t="n">
        <v>46661</v>
      </c>
      <c r="I206" s="1" t="str">
        <v>ACTIVE</v>
      </c>
      <c r="J206" s="4" t="n">
        <f>MAX(E206-F206,0)</f>
        <v>73100</v>
      </c>
      <c r="K206" s="6" t="n">
        <f>F206/E206</f>
        <v>0.269</v>
      </c>
    </row>
    <row r="207" ht="23" customHeight="1">
      <c r="A207" s="1" t="str">
        <v>G0206</v>
      </c>
      <c r="B207" s="1" t="str">
        <v>U069</v>
      </c>
      <c r="C207" s="1" t="str">
        <v>EMERGENCY</v>
      </c>
      <c r="D207" s="1" t="str">
        <v>emergency goal 69</v>
      </c>
      <c r="E207" s="4" t="n">
        <v>15000</v>
      </c>
      <c r="F207" s="4" t="n">
        <v>11900</v>
      </c>
      <c r="G207" s="4" t="n">
        <v>300</v>
      </c>
      <c r="H207" s="5" t="n">
        <v>47026</v>
      </c>
      <c r="I207" s="1" t="str">
        <v>ACTIVE</v>
      </c>
      <c r="J207" s="4" t="n">
        <f>MAX(E207-F207,0)</f>
        <v>3100</v>
      </c>
      <c r="K207" s="6" t="n">
        <f>F207/E207</f>
        <v>0.7933333333333333</v>
      </c>
    </row>
    <row r="208" ht="23" customHeight="1">
      <c r="A208" s="1" t="str">
        <v>G0207</v>
      </c>
      <c r="B208" s="1" t="str">
        <v>U069</v>
      </c>
      <c r="C208" s="1" t="str">
        <v>COLLEGE</v>
      </c>
      <c r="D208" s="1" t="str">
        <v>college goal 69</v>
      </c>
      <c r="E208" s="4" t="n">
        <v>40000</v>
      </c>
      <c r="F208" s="4" t="n">
        <v>16900</v>
      </c>
      <c r="G208" s="4" t="n">
        <v>450</v>
      </c>
      <c r="H208" s="5" t="n">
        <v>47391</v>
      </c>
      <c r="I208" s="1" t="str">
        <v>ACTIVE</v>
      </c>
      <c r="J208" s="4" t="n">
        <f>MAX(E208-F208,0)</f>
        <v>23100</v>
      </c>
      <c r="K208" s="6" t="n">
        <f>F208/E208</f>
        <v>0.4225</v>
      </c>
    </row>
    <row r="209" ht="23" customHeight="1">
      <c r="A209" s="1" t="str">
        <v>G0208</v>
      </c>
      <c r="B209" s="1" t="str">
        <v>U070</v>
      </c>
      <c r="C209" s="1" t="str">
        <v>RETIREMENT</v>
      </c>
      <c r="D209" s="1" t="str">
        <v>retirement goal 70</v>
      </c>
      <c r="E209" s="4" t="n">
        <v>100000</v>
      </c>
      <c r="F209" s="4" t="n">
        <v>27000</v>
      </c>
      <c r="G209" s="4" t="n">
        <v>150</v>
      </c>
      <c r="H209" s="5" t="n">
        <v>46661</v>
      </c>
      <c r="I209" s="1" t="str">
        <v>ACTIVE</v>
      </c>
      <c r="J209" s="4" t="n">
        <f>MAX(E209-F209,0)</f>
        <v>73000</v>
      </c>
      <c r="K209" s="6" t="n">
        <f>F209/E209</f>
        <v>0.27</v>
      </c>
    </row>
    <row r="210" ht="23" customHeight="1">
      <c r="A210" s="1" t="str">
        <v>G0209</v>
      </c>
      <c r="B210" s="1" t="str">
        <v>U070</v>
      </c>
      <c r="C210" s="1" t="str">
        <v>EMERGENCY</v>
      </c>
      <c r="D210" s="1" t="str">
        <v>emergency goal 70</v>
      </c>
      <c r="E210" s="4" t="n">
        <v>15000</v>
      </c>
      <c r="F210" s="4" t="n">
        <v>12000</v>
      </c>
      <c r="G210" s="4" t="n">
        <v>300</v>
      </c>
      <c r="H210" s="5" t="n">
        <v>47026</v>
      </c>
      <c r="I210" s="1" t="str">
        <v>ACTIVE</v>
      </c>
      <c r="J210" s="4" t="n">
        <f>MAX(E210-F210,0)</f>
        <v>3000</v>
      </c>
      <c r="K210" s="6" t="n">
        <f>F210/E210</f>
        <v>0.8</v>
      </c>
    </row>
    <row r="211" ht="23" customHeight="1">
      <c r="A211" s="1" t="str">
        <v>G0210</v>
      </c>
      <c r="B211" s="1" t="str">
        <v>U070</v>
      </c>
      <c r="C211" s="1" t="str">
        <v>COLLEGE</v>
      </c>
      <c r="D211" s="1" t="str">
        <v>college goal 70</v>
      </c>
      <c r="E211" s="4" t="n">
        <v>40000</v>
      </c>
      <c r="F211" s="4" t="n">
        <v>17000</v>
      </c>
      <c r="G211" s="4" t="n">
        <v>450</v>
      </c>
      <c r="H211" s="5" t="n">
        <v>47391</v>
      </c>
      <c r="I211" s="1" t="str">
        <v>ACTIVE</v>
      </c>
      <c r="J211" s="4" t="n">
        <f>MAX(E211-F211,0)</f>
        <v>23000</v>
      </c>
      <c r="K211" s="6" t="n">
        <f>F211/E211</f>
        <v>0.425</v>
      </c>
    </row>
    <row r="212" ht="23" customHeight="1">
      <c r="A212" s="1" t="str">
        <v>G0211</v>
      </c>
      <c r="B212" s="1" t="str">
        <v>U071</v>
      </c>
      <c r="C212" s="1" t="str">
        <v>RETIREMENT</v>
      </c>
      <c r="D212" s="1" t="str">
        <v>retirement goal 71</v>
      </c>
      <c r="E212" s="4" t="n">
        <v>100000</v>
      </c>
      <c r="F212" s="4" t="n">
        <v>27100</v>
      </c>
      <c r="G212" s="4" t="n">
        <v>150</v>
      </c>
      <c r="H212" s="5" t="n">
        <v>46661</v>
      </c>
      <c r="I212" s="1" t="str">
        <v>ACTIVE</v>
      </c>
      <c r="J212" s="4" t="n">
        <f>MAX(E212-F212,0)</f>
        <v>72900</v>
      </c>
      <c r="K212" s="6" t="n">
        <f>F212/E212</f>
        <v>0.271</v>
      </c>
    </row>
    <row r="213" ht="23" customHeight="1">
      <c r="A213" s="1" t="str">
        <v>G0212</v>
      </c>
      <c r="B213" s="1" t="str">
        <v>U071</v>
      </c>
      <c r="C213" s="1" t="str">
        <v>EMERGENCY</v>
      </c>
      <c r="D213" s="1" t="str">
        <v>emergency goal 71</v>
      </c>
      <c r="E213" s="4" t="n">
        <v>15000</v>
      </c>
      <c r="F213" s="4" t="n">
        <v>12100</v>
      </c>
      <c r="G213" s="4" t="n">
        <v>300</v>
      </c>
      <c r="H213" s="5" t="n">
        <v>47026</v>
      </c>
      <c r="I213" s="1" t="str">
        <v>ACTIVE</v>
      </c>
      <c r="J213" s="4" t="n">
        <f>MAX(E213-F213,0)</f>
        <v>2900</v>
      </c>
      <c r="K213" s="6" t="n">
        <f>F213/E213</f>
        <v>0.8066666666666666</v>
      </c>
    </row>
    <row r="214" ht="23" customHeight="1">
      <c r="A214" s="1" t="str">
        <v>G0213</v>
      </c>
      <c r="B214" s="1" t="str">
        <v>U071</v>
      </c>
      <c r="C214" s="1" t="str">
        <v>COLLEGE</v>
      </c>
      <c r="D214" s="1" t="str">
        <v>college goal 71</v>
      </c>
      <c r="E214" s="4" t="n">
        <v>40000</v>
      </c>
      <c r="F214" s="4" t="n">
        <v>17100</v>
      </c>
      <c r="G214" s="4" t="n">
        <v>450</v>
      </c>
      <c r="H214" s="5" t="n">
        <v>47391</v>
      </c>
      <c r="I214" s="1" t="str">
        <v>ACTIVE</v>
      </c>
      <c r="J214" s="4" t="n">
        <f>MAX(E214-F214,0)</f>
        <v>22900</v>
      </c>
      <c r="K214" s="6" t="n">
        <f>F214/E214</f>
        <v>0.4275</v>
      </c>
    </row>
    <row r="215" ht="23" customHeight="1">
      <c r="A215" s="1" t="str">
        <v>G0214</v>
      </c>
      <c r="B215" s="1" t="str">
        <v>U072</v>
      </c>
      <c r="C215" s="1" t="str">
        <v>RETIREMENT</v>
      </c>
      <c r="D215" s="1" t="str">
        <v>retirement goal 72</v>
      </c>
      <c r="E215" s="4" t="n">
        <v>100000</v>
      </c>
      <c r="F215" s="4" t="n">
        <v>27200</v>
      </c>
      <c r="G215" s="4" t="n">
        <v>150</v>
      </c>
      <c r="H215" s="5" t="n">
        <v>46661</v>
      </c>
      <c r="I215" s="1" t="str">
        <v>ACTIVE</v>
      </c>
      <c r="J215" s="4" t="n">
        <f>MAX(E215-F215,0)</f>
        <v>72800</v>
      </c>
      <c r="K215" s="6" t="n">
        <f>F215/E215</f>
        <v>0.272</v>
      </c>
    </row>
    <row r="216" ht="23" customHeight="1">
      <c r="A216" s="1" t="str">
        <v>G0215</v>
      </c>
      <c r="B216" s="1" t="str">
        <v>U072</v>
      </c>
      <c r="C216" s="1" t="str">
        <v>EMERGENCY</v>
      </c>
      <c r="D216" s="1" t="str">
        <v>emergency goal 72</v>
      </c>
      <c r="E216" s="4" t="n">
        <v>15000</v>
      </c>
      <c r="F216" s="4" t="n">
        <v>12200</v>
      </c>
      <c r="G216" s="4" t="n">
        <v>300</v>
      </c>
      <c r="H216" s="5" t="n">
        <v>47026</v>
      </c>
      <c r="I216" s="1" t="str">
        <v>ACTIVE</v>
      </c>
      <c r="J216" s="4" t="n">
        <f>MAX(E216-F216,0)</f>
        <v>2800</v>
      </c>
      <c r="K216" s="6" t="n">
        <f>F216/E216</f>
        <v>0.8133333333333334</v>
      </c>
    </row>
    <row r="217" ht="23" customHeight="1">
      <c r="A217" s="1" t="str">
        <v>G0216</v>
      </c>
      <c r="B217" s="1" t="str">
        <v>U072</v>
      </c>
      <c r="C217" s="1" t="str">
        <v>COLLEGE</v>
      </c>
      <c r="D217" s="1" t="str">
        <v>college goal 72</v>
      </c>
      <c r="E217" s="4" t="n">
        <v>40000</v>
      </c>
      <c r="F217" s="4" t="n">
        <v>17200</v>
      </c>
      <c r="G217" s="4" t="n">
        <v>450</v>
      </c>
      <c r="H217" s="5" t="n">
        <v>47391</v>
      </c>
      <c r="I217" s="1" t="str">
        <v>ACTIVE</v>
      </c>
      <c r="J217" s="4" t="n">
        <f>MAX(E217-F217,0)</f>
        <v>22800</v>
      </c>
      <c r="K217" s="6" t="n">
        <f>F217/E217</f>
        <v>0.43</v>
      </c>
    </row>
    <row r="218" ht="23" customHeight="1">
      <c r="A218" s="1" t="str">
        <v>G0217</v>
      </c>
      <c r="B218" s="1" t="str">
        <v>U073</v>
      </c>
      <c r="C218" s="1" t="str">
        <v>RETIREMENT</v>
      </c>
      <c r="D218" s="1" t="str">
        <v>retirement goal 73</v>
      </c>
      <c r="E218" s="4" t="n">
        <v>100000</v>
      </c>
      <c r="F218" s="4" t="n">
        <v>27300</v>
      </c>
      <c r="G218" s="4" t="n">
        <v>150</v>
      </c>
      <c r="H218" s="5" t="n">
        <v>46661</v>
      </c>
      <c r="I218" s="1" t="str">
        <v>ACTIVE</v>
      </c>
      <c r="J218" s="4" t="n">
        <f>MAX(E218-F218,0)</f>
        <v>72700</v>
      </c>
      <c r="K218" s="6" t="n">
        <f>F218/E218</f>
        <v>0.273</v>
      </c>
    </row>
    <row r="219" ht="23" customHeight="1">
      <c r="A219" s="1" t="str">
        <v>G0218</v>
      </c>
      <c r="B219" s="1" t="str">
        <v>U073</v>
      </c>
      <c r="C219" s="1" t="str">
        <v>EMERGENCY</v>
      </c>
      <c r="D219" s="1" t="str">
        <v>emergency goal 73</v>
      </c>
      <c r="E219" s="4" t="n">
        <v>15000</v>
      </c>
      <c r="F219" s="4" t="n">
        <v>12300</v>
      </c>
      <c r="G219" s="4" t="n">
        <v>300</v>
      </c>
      <c r="H219" s="5" t="n">
        <v>47026</v>
      </c>
      <c r="I219" s="1" t="str">
        <v>ACTIVE</v>
      </c>
      <c r="J219" s="4" t="n">
        <f>MAX(E219-F219,0)</f>
        <v>2700</v>
      </c>
      <c r="K219" s="6" t="n">
        <f>F219/E219</f>
        <v>0.82</v>
      </c>
    </row>
    <row r="220" ht="23" customHeight="1">
      <c r="A220" s="1" t="str">
        <v>G0219</v>
      </c>
      <c r="B220" s="1" t="str">
        <v>U073</v>
      </c>
      <c r="C220" s="1" t="str">
        <v>COLLEGE</v>
      </c>
      <c r="D220" s="1" t="str">
        <v>college goal 73</v>
      </c>
      <c r="E220" s="4" t="n">
        <v>40000</v>
      </c>
      <c r="F220" s="4" t="n">
        <v>17300</v>
      </c>
      <c r="G220" s="4" t="n">
        <v>450</v>
      </c>
      <c r="H220" s="5" t="n">
        <v>47391</v>
      </c>
      <c r="I220" s="1" t="str">
        <v>ACTIVE</v>
      </c>
      <c r="J220" s="4" t="n">
        <f>MAX(E220-F220,0)</f>
        <v>22700</v>
      </c>
      <c r="K220" s="6" t="n">
        <f>F220/E220</f>
        <v>0.4325</v>
      </c>
    </row>
    <row r="221" ht="23" customHeight="1">
      <c r="A221" s="1" t="str">
        <v>G0220</v>
      </c>
      <c r="B221" s="1" t="str">
        <v>U074</v>
      </c>
      <c r="C221" s="1" t="str">
        <v>RETIREMENT</v>
      </c>
      <c r="D221" s="1" t="str">
        <v>retirement goal 74</v>
      </c>
      <c r="E221" s="4" t="n">
        <v>100000</v>
      </c>
      <c r="F221" s="4" t="n">
        <v>27400</v>
      </c>
      <c r="G221" s="4" t="n">
        <v>150</v>
      </c>
      <c r="H221" s="5" t="n">
        <v>46661</v>
      </c>
      <c r="I221" s="1" t="str">
        <v>ACTIVE</v>
      </c>
      <c r="J221" s="4" t="n">
        <f>MAX(E221-F221,0)</f>
        <v>72600</v>
      </c>
      <c r="K221" s="6" t="n">
        <f>F221/E221</f>
        <v>0.274</v>
      </c>
    </row>
    <row r="222" ht="23" customHeight="1">
      <c r="A222" s="1" t="str">
        <v>G0221</v>
      </c>
      <c r="B222" s="1" t="str">
        <v>U074</v>
      </c>
      <c r="C222" s="1" t="str">
        <v>EMERGENCY</v>
      </c>
      <c r="D222" s="1" t="str">
        <v>emergency goal 74</v>
      </c>
      <c r="E222" s="4" t="n">
        <v>15000</v>
      </c>
      <c r="F222" s="4" t="n">
        <v>12400</v>
      </c>
      <c r="G222" s="4" t="n">
        <v>300</v>
      </c>
      <c r="H222" s="5" t="n">
        <v>47026</v>
      </c>
      <c r="I222" s="1" t="str">
        <v>ACTIVE</v>
      </c>
      <c r="J222" s="4" t="n">
        <f>MAX(E222-F222,0)</f>
        <v>2600</v>
      </c>
      <c r="K222" s="6" t="n">
        <f>F222/E222</f>
        <v>0.8266666666666667</v>
      </c>
    </row>
    <row r="223" ht="23" customHeight="1">
      <c r="A223" s="1" t="str">
        <v>G0222</v>
      </c>
      <c r="B223" s="1" t="str">
        <v>U074</v>
      </c>
      <c r="C223" s="1" t="str">
        <v>COLLEGE</v>
      </c>
      <c r="D223" s="1" t="str">
        <v>college goal 74</v>
      </c>
      <c r="E223" s="4" t="n">
        <v>40000</v>
      </c>
      <c r="F223" s="4" t="n">
        <v>17400</v>
      </c>
      <c r="G223" s="4" t="n">
        <v>450</v>
      </c>
      <c r="H223" s="5" t="n">
        <v>47391</v>
      </c>
      <c r="I223" s="1" t="str">
        <v>ACTIVE</v>
      </c>
      <c r="J223" s="4" t="n">
        <f>MAX(E223-F223,0)</f>
        <v>22600</v>
      </c>
      <c r="K223" s="6" t="n">
        <f>F223/E223</f>
        <v>0.435</v>
      </c>
    </row>
    <row r="224" ht="23" customHeight="1">
      <c r="A224" s="1" t="str">
        <v>G0223</v>
      </c>
      <c r="B224" s="1" t="str">
        <v>U075</v>
      </c>
      <c r="C224" s="1" t="str">
        <v>RETIREMENT</v>
      </c>
      <c r="D224" s="1" t="str">
        <v>retirement goal 75</v>
      </c>
      <c r="E224" s="4" t="n">
        <v>100000</v>
      </c>
      <c r="F224" s="4" t="n">
        <v>27500</v>
      </c>
      <c r="G224" s="4" t="n">
        <v>150</v>
      </c>
      <c r="H224" s="5" t="n">
        <v>46661</v>
      </c>
      <c r="I224" s="1" t="str">
        <v>ACTIVE</v>
      </c>
      <c r="J224" s="4" t="n">
        <f>MAX(E224-F224,0)</f>
        <v>72500</v>
      </c>
      <c r="K224" s="6" t="n">
        <f>F224/E224</f>
        <v>0.275</v>
      </c>
    </row>
    <row r="225" ht="23" customHeight="1">
      <c r="A225" s="1" t="str">
        <v>G0224</v>
      </c>
      <c r="B225" s="1" t="str">
        <v>U075</v>
      </c>
      <c r="C225" s="1" t="str">
        <v>EMERGENCY</v>
      </c>
      <c r="D225" s="1" t="str">
        <v>emergency goal 75</v>
      </c>
      <c r="E225" s="4" t="n">
        <v>15000</v>
      </c>
      <c r="F225" s="4" t="n">
        <v>12500</v>
      </c>
      <c r="G225" s="4" t="n">
        <v>300</v>
      </c>
      <c r="H225" s="5" t="n">
        <v>47026</v>
      </c>
      <c r="I225" s="1" t="str">
        <v>ACTIVE</v>
      </c>
      <c r="J225" s="4" t="n">
        <f>MAX(E225-F225,0)</f>
        <v>2500</v>
      </c>
      <c r="K225" s="6" t="n">
        <f>F225/E225</f>
        <v>0.8333333333333334</v>
      </c>
    </row>
    <row r="226" ht="23" customHeight="1">
      <c r="A226" s="1" t="str">
        <v>G0225</v>
      </c>
      <c r="B226" s="1" t="str">
        <v>U075</v>
      </c>
      <c r="C226" s="1" t="str">
        <v>COLLEGE</v>
      </c>
      <c r="D226" s="1" t="str">
        <v>college goal 75</v>
      </c>
      <c r="E226" s="4" t="n">
        <v>40000</v>
      </c>
      <c r="F226" s="4" t="n">
        <v>17500</v>
      </c>
      <c r="G226" s="4" t="n">
        <v>450</v>
      </c>
      <c r="H226" s="5" t="n">
        <v>47391</v>
      </c>
      <c r="I226" s="1" t="str">
        <v>ACTIVE</v>
      </c>
      <c r="J226" s="4" t="n">
        <f>MAX(E226-F226,0)</f>
        <v>22500</v>
      </c>
      <c r="K226" s="6" t="n">
        <f>F226/E226</f>
        <v>0.4375</v>
      </c>
    </row>
    <row r="227" ht="23" customHeight="1">
      <c r="A227" s="1" t="str">
        <v>G0226</v>
      </c>
      <c r="B227" s="1" t="str">
        <v>U076</v>
      </c>
      <c r="C227" s="1" t="str">
        <v>RETIREMENT</v>
      </c>
      <c r="D227" s="1" t="str">
        <v>retirement goal 76</v>
      </c>
      <c r="E227" s="4" t="n">
        <v>100000</v>
      </c>
      <c r="F227" s="4" t="n">
        <v>27600</v>
      </c>
      <c r="G227" s="4" t="n">
        <v>150</v>
      </c>
      <c r="H227" s="5" t="n">
        <v>46661</v>
      </c>
      <c r="I227" s="1" t="str">
        <v>ACTIVE</v>
      </c>
      <c r="J227" s="4" t="n">
        <f>MAX(E227-F227,0)</f>
        <v>72400</v>
      </c>
      <c r="K227" s="6" t="n">
        <f>F227/E227</f>
        <v>0.276</v>
      </c>
    </row>
    <row r="228" ht="23" customHeight="1">
      <c r="A228" s="1" t="str">
        <v>G0227</v>
      </c>
      <c r="B228" s="1" t="str">
        <v>U076</v>
      </c>
      <c r="C228" s="1" t="str">
        <v>EMERGENCY</v>
      </c>
      <c r="D228" s="1" t="str">
        <v>emergency goal 76</v>
      </c>
      <c r="E228" s="4" t="n">
        <v>15000</v>
      </c>
      <c r="F228" s="4" t="n">
        <v>12600</v>
      </c>
      <c r="G228" s="4" t="n">
        <v>300</v>
      </c>
      <c r="H228" s="5" t="n">
        <v>47026</v>
      </c>
      <c r="I228" s="1" t="str">
        <v>ACTIVE</v>
      </c>
      <c r="J228" s="4" t="n">
        <f>MAX(E228-F228,0)</f>
        <v>2400</v>
      </c>
      <c r="K228" s="6" t="n">
        <f>F228/E228</f>
        <v>0.84</v>
      </c>
    </row>
    <row r="229" ht="23" customHeight="1">
      <c r="A229" s="1" t="str">
        <v>G0228</v>
      </c>
      <c r="B229" s="1" t="str">
        <v>U076</v>
      </c>
      <c r="C229" s="1" t="str">
        <v>COLLEGE</v>
      </c>
      <c r="D229" s="1" t="str">
        <v>college goal 76</v>
      </c>
      <c r="E229" s="4" t="n">
        <v>40000</v>
      </c>
      <c r="F229" s="4" t="n">
        <v>17600</v>
      </c>
      <c r="G229" s="4" t="n">
        <v>450</v>
      </c>
      <c r="H229" s="5" t="n">
        <v>47391</v>
      </c>
      <c r="I229" s="1" t="str">
        <v>ACTIVE</v>
      </c>
      <c r="J229" s="4" t="n">
        <f>MAX(E229-F229,0)</f>
        <v>22400</v>
      </c>
      <c r="K229" s="6" t="n">
        <f>F229/E229</f>
        <v>0.44</v>
      </c>
    </row>
    <row r="230" ht="23" customHeight="1">
      <c r="A230" s="1" t="str">
        <v>G0229</v>
      </c>
      <c r="B230" s="1" t="str">
        <v>U077</v>
      </c>
      <c r="C230" s="1" t="str">
        <v>RETIREMENT</v>
      </c>
      <c r="D230" s="1" t="str">
        <v>retirement goal 77</v>
      </c>
      <c r="E230" s="4" t="n">
        <v>100000</v>
      </c>
      <c r="F230" s="4" t="n">
        <v>27700</v>
      </c>
      <c r="G230" s="4" t="n">
        <v>150</v>
      </c>
      <c r="H230" s="5" t="n">
        <v>46661</v>
      </c>
      <c r="I230" s="1" t="str">
        <v>ACTIVE</v>
      </c>
      <c r="J230" s="4" t="n">
        <f>MAX(E230-F230,0)</f>
        <v>72300</v>
      </c>
      <c r="K230" s="6" t="n">
        <f>F230/E230</f>
        <v>0.277</v>
      </c>
    </row>
    <row r="231" ht="23" customHeight="1">
      <c r="A231" s="1" t="str">
        <v>G0230</v>
      </c>
      <c r="B231" s="1" t="str">
        <v>U077</v>
      </c>
      <c r="C231" s="1" t="str">
        <v>EMERGENCY</v>
      </c>
      <c r="D231" s="1" t="str">
        <v>emergency goal 77</v>
      </c>
      <c r="E231" s="4" t="n">
        <v>15000</v>
      </c>
      <c r="F231" s="4" t="n">
        <v>12700</v>
      </c>
      <c r="G231" s="4" t="n">
        <v>300</v>
      </c>
      <c r="H231" s="5" t="n">
        <v>47026</v>
      </c>
      <c r="I231" s="1" t="str">
        <v>ACTIVE</v>
      </c>
      <c r="J231" s="4" t="n">
        <f>MAX(E231-F231,0)</f>
        <v>2300</v>
      </c>
      <c r="K231" s="6" t="n">
        <f>F231/E231</f>
        <v>0.8466666666666667</v>
      </c>
    </row>
    <row r="232" ht="23" customHeight="1">
      <c r="A232" s="1" t="str">
        <v>G0231</v>
      </c>
      <c r="B232" s="1" t="str">
        <v>U077</v>
      </c>
      <c r="C232" s="1" t="str">
        <v>COLLEGE</v>
      </c>
      <c r="D232" s="1" t="str">
        <v>college goal 77</v>
      </c>
      <c r="E232" s="4" t="n">
        <v>40000</v>
      </c>
      <c r="F232" s="4" t="n">
        <v>17700</v>
      </c>
      <c r="G232" s="4" t="n">
        <v>450</v>
      </c>
      <c r="H232" s="5" t="n">
        <v>47391</v>
      </c>
      <c r="I232" s="1" t="str">
        <v>ACTIVE</v>
      </c>
      <c r="J232" s="4" t="n">
        <f>MAX(E232-F232,0)</f>
        <v>22300</v>
      </c>
      <c r="K232" s="6" t="n">
        <f>F232/E232</f>
        <v>0.4425</v>
      </c>
    </row>
    <row r="233" ht="23" customHeight="1">
      <c r="A233" s="1" t="str">
        <v>G0232</v>
      </c>
      <c r="B233" s="1" t="str">
        <v>U078</v>
      </c>
      <c r="C233" s="1" t="str">
        <v>RETIREMENT</v>
      </c>
      <c r="D233" s="1" t="str">
        <v>retirement goal 78</v>
      </c>
      <c r="E233" s="4" t="n">
        <v>100000</v>
      </c>
      <c r="F233" s="4" t="n">
        <v>27800</v>
      </c>
      <c r="G233" s="4" t="n">
        <v>150</v>
      </c>
      <c r="H233" s="5" t="n">
        <v>46661</v>
      </c>
      <c r="I233" s="1" t="str">
        <v>ACTIVE</v>
      </c>
      <c r="J233" s="4" t="n">
        <f>MAX(E233-F233,0)</f>
        <v>72200</v>
      </c>
      <c r="K233" s="6" t="n">
        <f>F233/E233</f>
        <v>0.278</v>
      </c>
    </row>
    <row r="234" ht="23" customHeight="1">
      <c r="A234" s="1" t="str">
        <v>G0233</v>
      </c>
      <c r="B234" s="1" t="str">
        <v>U078</v>
      </c>
      <c r="C234" s="1" t="str">
        <v>EMERGENCY</v>
      </c>
      <c r="D234" s="1" t="str">
        <v>emergency goal 78</v>
      </c>
      <c r="E234" s="4" t="n">
        <v>15000</v>
      </c>
      <c r="F234" s="4" t="n">
        <v>12800</v>
      </c>
      <c r="G234" s="4" t="n">
        <v>300</v>
      </c>
      <c r="H234" s="5" t="n">
        <v>47026</v>
      </c>
      <c r="I234" s="1" t="str">
        <v>ACTIVE</v>
      </c>
      <c r="J234" s="4" t="n">
        <f>MAX(E234-F234,0)</f>
        <v>2200</v>
      </c>
      <c r="K234" s="6" t="n">
        <f>F234/E234</f>
        <v>0.8533333333333334</v>
      </c>
    </row>
    <row r="235" ht="23" customHeight="1">
      <c r="A235" s="1" t="str">
        <v>G0234</v>
      </c>
      <c r="B235" s="1" t="str">
        <v>U078</v>
      </c>
      <c r="C235" s="1" t="str">
        <v>COLLEGE</v>
      </c>
      <c r="D235" s="1" t="str">
        <v>college goal 78</v>
      </c>
      <c r="E235" s="4" t="n">
        <v>40000</v>
      </c>
      <c r="F235" s="4" t="n">
        <v>17800</v>
      </c>
      <c r="G235" s="4" t="n">
        <v>450</v>
      </c>
      <c r="H235" s="5" t="n">
        <v>47391</v>
      </c>
      <c r="I235" s="1" t="str">
        <v>ACTIVE</v>
      </c>
      <c r="J235" s="4" t="n">
        <f>MAX(E235-F235,0)</f>
        <v>22200</v>
      </c>
      <c r="K235" s="6" t="n">
        <f>F235/E235</f>
        <v>0.445</v>
      </c>
    </row>
    <row r="236" ht="23" customHeight="1">
      <c r="A236" s="1" t="str">
        <v>G0235</v>
      </c>
      <c r="B236" s="1" t="str">
        <v>U079</v>
      </c>
      <c r="C236" s="1" t="str">
        <v>RETIREMENT</v>
      </c>
      <c r="D236" s="1" t="str">
        <v>retirement goal 79</v>
      </c>
      <c r="E236" s="4" t="n">
        <v>100000</v>
      </c>
      <c r="F236" s="4" t="n">
        <v>27900</v>
      </c>
      <c r="G236" s="4" t="n">
        <v>150</v>
      </c>
      <c r="H236" s="5" t="n">
        <v>46661</v>
      </c>
      <c r="I236" s="1" t="str">
        <v>ACTIVE</v>
      </c>
      <c r="J236" s="4" t="n">
        <f>MAX(E236-F236,0)</f>
        <v>72100</v>
      </c>
      <c r="K236" s="6" t="n">
        <f>F236/E236</f>
        <v>0.279</v>
      </c>
    </row>
    <row r="237" ht="23" customHeight="1">
      <c r="A237" s="1" t="str">
        <v>G0236</v>
      </c>
      <c r="B237" s="1" t="str">
        <v>U079</v>
      </c>
      <c r="C237" s="1" t="str">
        <v>EMERGENCY</v>
      </c>
      <c r="D237" s="1" t="str">
        <v>emergency goal 79</v>
      </c>
      <c r="E237" s="4" t="n">
        <v>15000</v>
      </c>
      <c r="F237" s="4" t="n">
        <v>12900</v>
      </c>
      <c r="G237" s="4" t="n">
        <v>300</v>
      </c>
      <c r="H237" s="5" t="n">
        <v>47026</v>
      </c>
      <c r="I237" s="1" t="str">
        <v>ACTIVE</v>
      </c>
      <c r="J237" s="4" t="n">
        <f>MAX(E237-F237,0)</f>
        <v>2100</v>
      </c>
      <c r="K237" s="6" t="n">
        <f>F237/E237</f>
        <v>0.86</v>
      </c>
    </row>
    <row r="238" ht="23" customHeight="1">
      <c r="A238" s="1" t="str">
        <v>G0237</v>
      </c>
      <c r="B238" s="1" t="str">
        <v>U079</v>
      </c>
      <c r="C238" s="1" t="str">
        <v>COLLEGE</v>
      </c>
      <c r="D238" s="1" t="str">
        <v>college goal 79</v>
      </c>
      <c r="E238" s="4" t="n">
        <v>40000</v>
      </c>
      <c r="F238" s="4" t="n">
        <v>17900</v>
      </c>
      <c r="G238" s="4" t="n">
        <v>450</v>
      </c>
      <c r="H238" s="5" t="n">
        <v>47391</v>
      </c>
      <c r="I238" s="1" t="str">
        <v>ACTIVE</v>
      </c>
      <c r="J238" s="4" t="n">
        <f>MAX(E238-F238,0)</f>
        <v>22100</v>
      </c>
      <c r="K238" s="6" t="n">
        <f>F238/E238</f>
        <v>0.4475</v>
      </c>
    </row>
    <row r="239" ht="23" customHeight="1">
      <c r="A239" s="1" t="str">
        <v>G0238</v>
      </c>
      <c r="B239" s="1" t="str">
        <v>U080</v>
      </c>
      <c r="C239" s="1" t="str">
        <v>RETIREMENT</v>
      </c>
      <c r="D239" s="1" t="str">
        <v>retirement goal 80</v>
      </c>
      <c r="E239" s="4" t="n">
        <v>100000</v>
      </c>
      <c r="F239" s="4" t="n">
        <v>28000</v>
      </c>
      <c r="G239" s="4" t="n">
        <v>150</v>
      </c>
      <c r="H239" s="5" t="n">
        <v>46661</v>
      </c>
      <c r="I239" s="1" t="str">
        <v>ACTIVE</v>
      </c>
      <c r="J239" s="4" t="n">
        <f>MAX(E239-F239,0)</f>
        <v>72000</v>
      </c>
      <c r="K239" s="6" t="n">
        <f>F239/E239</f>
        <v>0.28</v>
      </c>
    </row>
    <row r="240" ht="23" customHeight="1">
      <c r="A240" s="1" t="str">
        <v>G0239</v>
      </c>
      <c r="B240" s="1" t="str">
        <v>U080</v>
      </c>
      <c r="C240" s="1" t="str">
        <v>EMERGENCY</v>
      </c>
      <c r="D240" s="1" t="str">
        <v>emergency goal 80</v>
      </c>
      <c r="E240" s="4" t="n">
        <v>15000</v>
      </c>
      <c r="F240" s="4" t="n">
        <v>13000</v>
      </c>
      <c r="G240" s="4" t="n">
        <v>300</v>
      </c>
      <c r="H240" s="5" t="n">
        <v>47026</v>
      </c>
      <c r="I240" s="1" t="str">
        <v>ACTIVE</v>
      </c>
      <c r="J240" s="4" t="n">
        <f>MAX(E240-F240,0)</f>
        <v>2000</v>
      </c>
      <c r="K240" s="6" t="n">
        <f>F240/E240</f>
        <v>0.8666666666666667</v>
      </c>
    </row>
    <row r="241" ht="23" customHeight="1">
      <c r="A241" s="1" t="str">
        <v>G0240</v>
      </c>
      <c r="B241" s="1" t="str">
        <v>U080</v>
      </c>
      <c r="C241" s="1" t="str">
        <v>COLLEGE</v>
      </c>
      <c r="D241" s="1" t="str">
        <v>college goal 80</v>
      </c>
      <c r="E241" s="4" t="n">
        <v>40000</v>
      </c>
      <c r="F241" s="4" t="n">
        <v>18000</v>
      </c>
      <c r="G241" s="4" t="n">
        <v>450</v>
      </c>
      <c r="H241" s="5" t="n">
        <v>47391</v>
      </c>
      <c r="I241" s="1" t="str">
        <v>ACTIVE</v>
      </c>
      <c r="J241" s="4" t="n">
        <f>MAX(E241-F241,0)</f>
        <v>22000</v>
      </c>
      <c r="K241" s="6" t="n">
        <f>F241/E241</f>
        <v>0.45</v>
      </c>
    </row>
    <row r="242" ht="23" customHeight="1">
      <c r="A242" s="1" t="str">
        <v>G0241</v>
      </c>
      <c r="B242" s="1" t="str">
        <v>U081</v>
      </c>
      <c r="C242" s="1" t="str">
        <v>RETIREMENT</v>
      </c>
      <c r="D242" s="1" t="str">
        <v>retirement goal 81</v>
      </c>
      <c r="E242" s="4" t="n">
        <v>100000</v>
      </c>
      <c r="F242" s="4" t="n">
        <v>28100</v>
      </c>
      <c r="G242" s="4" t="n">
        <v>150</v>
      </c>
      <c r="H242" s="5" t="n">
        <v>46661</v>
      </c>
      <c r="I242" s="1" t="str">
        <v>ACTIVE</v>
      </c>
      <c r="J242" s="4" t="n">
        <f>MAX(E242-F242,0)</f>
        <v>71900</v>
      </c>
      <c r="K242" s="6" t="n">
        <f>F242/E242</f>
        <v>0.281</v>
      </c>
    </row>
    <row r="243" ht="23" customHeight="1">
      <c r="A243" s="1" t="str">
        <v>G0242</v>
      </c>
      <c r="B243" s="1" t="str">
        <v>U081</v>
      </c>
      <c r="C243" s="1" t="str">
        <v>EMERGENCY</v>
      </c>
      <c r="D243" s="1" t="str">
        <v>emergency goal 81</v>
      </c>
      <c r="E243" s="4" t="n">
        <v>15000</v>
      </c>
      <c r="F243" s="4" t="n">
        <v>13100</v>
      </c>
      <c r="G243" s="4" t="n">
        <v>300</v>
      </c>
      <c r="H243" s="5" t="n">
        <v>47026</v>
      </c>
      <c r="I243" s="1" t="str">
        <v>ACTIVE</v>
      </c>
      <c r="J243" s="4" t="n">
        <f>MAX(E243-F243,0)</f>
        <v>1900</v>
      </c>
      <c r="K243" s="6" t="n">
        <f>F243/E243</f>
        <v>0.8733333333333333</v>
      </c>
    </row>
    <row r="244" ht="23" customHeight="1">
      <c r="A244" s="1" t="str">
        <v>G0243</v>
      </c>
      <c r="B244" s="1" t="str">
        <v>U081</v>
      </c>
      <c r="C244" s="1" t="str">
        <v>COLLEGE</v>
      </c>
      <c r="D244" s="1" t="str">
        <v>college goal 81</v>
      </c>
      <c r="E244" s="4" t="n">
        <v>40000</v>
      </c>
      <c r="F244" s="4" t="n">
        <v>18100</v>
      </c>
      <c r="G244" s="4" t="n">
        <v>450</v>
      </c>
      <c r="H244" s="5" t="n">
        <v>47391</v>
      </c>
      <c r="I244" s="1" t="str">
        <v>ACTIVE</v>
      </c>
      <c r="J244" s="4" t="n">
        <f>MAX(E244-F244,0)</f>
        <v>21900</v>
      </c>
      <c r="K244" s="6" t="n">
        <f>F244/E244</f>
        <v>0.4525</v>
      </c>
    </row>
    <row r="245" ht="23" customHeight="1">
      <c r="A245" s="1" t="str">
        <v>G0244</v>
      </c>
      <c r="B245" s="1" t="str">
        <v>U082</v>
      </c>
      <c r="C245" s="1" t="str">
        <v>RETIREMENT</v>
      </c>
      <c r="D245" s="1" t="str">
        <v>retirement goal 82</v>
      </c>
      <c r="E245" s="4" t="n">
        <v>100000</v>
      </c>
      <c r="F245" s="4" t="n">
        <v>28200</v>
      </c>
      <c r="G245" s="4" t="n">
        <v>150</v>
      </c>
      <c r="H245" s="5" t="n">
        <v>46661</v>
      </c>
      <c r="I245" s="1" t="str">
        <v>ACTIVE</v>
      </c>
      <c r="J245" s="4" t="n">
        <f>MAX(E245-F245,0)</f>
        <v>71800</v>
      </c>
      <c r="K245" s="6" t="n">
        <f>F245/E245</f>
        <v>0.282</v>
      </c>
    </row>
    <row r="246" ht="23" customHeight="1">
      <c r="A246" s="1" t="str">
        <v>G0245</v>
      </c>
      <c r="B246" s="1" t="str">
        <v>U082</v>
      </c>
      <c r="C246" s="1" t="str">
        <v>EMERGENCY</v>
      </c>
      <c r="D246" s="1" t="str">
        <v>emergency goal 82</v>
      </c>
      <c r="E246" s="4" t="n">
        <v>15000</v>
      </c>
      <c r="F246" s="4" t="n">
        <v>13200</v>
      </c>
      <c r="G246" s="4" t="n">
        <v>300</v>
      </c>
      <c r="H246" s="5" t="n">
        <v>47026</v>
      </c>
      <c r="I246" s="1" t="str">
        <v>ACTIVE</v>
      </c>
      <c r="J246" s="4" t="n">
        <f>MAX(E246-F246,0)</f>
        <v>1800</v>
      </c>
      <c r="K246" s="6" t="n">
        <f>F246/E246</f>
        <v>0.88</v>
      </c>
    </row>
    <row r="247" ht="23" customHeight="1">
      <c r="A247" s="1" t="str">
        <v>G0246</v>
      </c>
      <c r="B247" s="1" t="str">
        <v>U082</v>
      </c>
      <c r="C247" s="1" t="str">
        <v>COLLEGE</v>
      </c>
      <c r="D247" s="1" t="str">
        <v>college goal 82</v>
      </c>
      <c r="E247" s="4" t="n">
        <v>40000</v>
      </c>
      <c r="F247" s="4" t="n">
        <v>18200</v>
      </c>
      <c r="G247" s="4" t="n">
        <v>450</v>
      </c>
      <c r="H247" s="5" t="n">
        <v>47391</v>
      </c>
      <c r="I247" s="1" t="str">
        <v>ACTIVE</v>
      </c>
      <c r="J247" s="4" t="n">
        <f>MAX(E247-F247,0)</f>
        <v>21800</v>
      </c>
      <c r="K247" s="6" t="n">
        <f>F247/E247</f>
        <v>0.455</v>
      </c>
    </row>
    <row r="248" ht="23" customHeight="1">
      <c r="A248" s="1" t="str">
        <v>G0247</v>
      </c>
      <c r="B248" s="1" t="str">
        <v>U083</v>
      </c>
      <c r="C248" s="1" t="str">
        <v>RETIREMENT</v>
      </c>
      <c r="D248" s="1" t="str">
        <v>retirement goal 83</v>
      </c>
      <c r="E248" s="4" t="n">
        <v>100000</v>
      </c>
      <c r="F248" s="4" t="n">
        <v>28300</v>
      </c>
      <c r="G248" s="4" t="n">
        <v>150</v>
      </c>
      <c r="H248" s="5" t="n">
        <v>46661</v>
      </c>
      <c r="I248" s="1" t="str">
        <v>ACTIVE</v>
      </c>
      <c r="J248" s="4" t="n">
        <f>MAX(E248-F248,0)</f>
        <v>71700</v>
      </c>
      <c r="K248" s="6" t="n">
        <f>F248/E248</f>
        <v>0.283</v>
      </c>
    </row>
    <row r="249" ht="23" customHeight="1">
      <c r="A249" s="1" t="str">
        <v>G0248</v>
      </c>
      <c r="B249" s="1" t="str">
        <v>U083</v>
      </c>
      <c r="C249" s="1" t="str">
        <v>EMERGENCY</v>
      </c>
      <c r="D249" s="1" t="str">
        <v>emergency goal 83</v>
      </c>
      <c r="E249" s="4" t="n">
        <v>15000</v>
      </c>
      <c r="F249" s="4" t="n">
        <v>13300</v>
      </c>
      <c r="G249" s="4" t="n">
        <v>300</v>
      </c>
      <c r="H249" s="5" t="n">
        <v>47026</v>
      </c>
      <c r="I249" s="1" t="str">
        <v>ACTIVE</v>
      </c>
      <c r="J249" s="4" t="n">
        <f>MAX(E249-F249,0)</f>
        <v>1700</v>
      </c>
      <c r="K249" s="6" t="n">
        <f>F249/E249</f>
        <v>0.8866666666666667</v>
      </c>
    </row>
    <row r="250" ht="23" customHeight="1">
      <c r="A250" s="1" t="str">
        <v>G0249</v>
      </c>
      <c r="B250" s="1" t="str">
        <v>U083</v>
      </c>
      <c r="C250" s="1" t="str">
        <v>COLLEGE</v>
      </c>
      <c r="D250" s="1" t="str">
        <v>college goal 83</v>
      </c>
      <c r="E250" s="4" t="n">
        <v>40000</v>
      </c>
      <c r="F250" s="4" t="n">
        <v>18300</v>
      </c>
      <c r="G250" s="4" t="n">
        <v>450</v>
      </c>
      <c r="H250" s="5" t="n">
        <v>47391</v>
      </c>
      <c r="I250" s="1" t="str">
        <v>ACTIVE</v>
      </c>
      <c r="J250" s="4" t="n">
        <f>MAX(E250-F250,0)</f>
        <v>21700</v>
      </c>
      <c r="K250" s="6" t="n">
        <f>F250/E250</f>
        <v>0.4575</v>
      </c>
    </row>
    <row r="251" ht="23" customHeight="1">
      <c r="A251" s="1" t="str">
        <v>G0250</v>
      </c>
      <c r="B251" s="1" t="str">
        <v>U084</v>
      </c>
      <c r="C251" s="1" t="str">
        <v>RETIREMENT</v>
      </c>
      <c r="D251" s="1" t="str">
        <v>retirement goal 84</v>
      </c>
      <c r="E251" s="4" t="n">
        <v>100000</v>
      </c>
      <c r="F251" s="4" t="n">
        <v>28400</v>
      </c>
      <c r="G251" s="4" t="n">
        <v>150</v>
      </c>
      <c r="H251" s="5" t="n">
        <v>46661</v>
      </c>
      <c r="I251" s="1" t="str">
        <v>ACTIVE</v>
      </c>
      <c r="J251" s="4" t="n">
        <f>MAX(E251-F251,0)</f>
        <v>71600</v>
      </c>
      <c r="K251" s="6" t="n">
        <f>F251/E251</f>
        <v>0.284</v>
      </c>
    </row>
    <row r="252" ht="23" customHeight="1">
      <c r="A252" s="1" t="str">
        <v>G0251</v>
      </c>
      <c r="B252" s="1" t="str">
        <v>U084</v>
      </c>
      <c r="C252" s="1" t="str">
        <v>EMERGENCY</v>
      </c>
      <c r="D252" s="1" t="str">
        <v>emergency goal 84</v>
      </c>
      <c r="E252" s="4" t="n">
        <v>15000</v>
      </c>
      <c r="F252" s="4" t="n">
        <v>13400</v>
      </c>
      <c r="G252" s="4" t="n">
        <v>300</v>
      </c>
      <c r="H252" s="5" t="n">
        <v>47026</v>
      </c>
      <c r="I252" s="1" t="str">
        <v>ACTIVE</v>
      </c>
      <c r="J252" s="4" t="n">
        <f>MAX(E252-F252,0)</f>
        <v>1600</v>
      </c>
      <c r="K252" s="6" t="n">
        <f>F252/E252</f>
        <v>0.8933333333333333</v>
      </c>
    </row>
    <row r="253" ht="23" customHeight="1">
      <c r="A253" s="1" t="str">
        <v>G0252</v>
      </c>
      <c r="B253" s="1" t="str">
        <v>U084</v>
      </c>
      <c r="C253" s="1" t="str">
        <v>COLLEGE</v>
      </c>
      <c r="D253" s="1" t="str">
        <v>college goal 84</v>
      </c>
      <c r="E253" s="4" t="n">
        <v>40000</v>
      </c>
      <c r="F253" s="4" t="n">
        <v>18400</v>
      </c>
      <c r="G253" s="4" t="n">
        <v>450</v>
      </c>
      <c r="H253" s="5" t="n">
        <v>47391</v>
      </c>
      <c r="I253" s="1" t="str">
        <v>ACTIVE</v>
      </c>
      <c r="J253" s="4" t="n">
        <f>MAX(E253-F253,0)</f>
        <v>21600</v>
      </c>
      <c r="K253" s="6" t="n">
        <f>F253/E253</f>
        <v>0.46</v>
      </c>
    </row>
    <row r="254" ht="23" customHeight="1">
      <c r="A254" s="1" t="str">
        <v>G0253</v>
      </c>
      <c r="B254" s="1" t="str">
        <v>U085</v>
      </c>
      <c r="C254" s="1" t="str">
        <v>RETIREMENT</v>
      </c>
      <c r="D254" s="1" t="str">
        <v>retirement goal 85</v>
      </c>
      <c r="E254" s="4" t="n">
        <v>100000</v>
      </c>
      <c r="F254" s="4" t="n">
        <v>28500</v>
      </c>
      <c r="G254" s="4" t="n">
        <v>150</v>
      </c>
      <c r="H254" s="5" t="n">
        <v>46661</v>
      </c>
      <c r="I254" s="1" t="str">
        <v>ACTIVE</v>
      </c>
      <c r="J254" s="4" t="n">
        <f>MAX(E254-F254,0)</f>
        <v>71500</v>
      </c>
      <c r="K254" s="6" t="n">
        <f>F254/E254</f>
        <v>0.285</v>
      </c>
    </row>
    <row r="255" ht="23" customHeight="1">
      <c r="A255" s="1" t="str">
        <v>G0254</v>
      </c>
      <c r="B255" s="1" t="str">
        <v>U085</v>
      </c>
      <c r="C255" s="1" t="str">
        <v>EMERGENCY</v>
      </c>
      <c r="D255" s="1" t="str">
        <v>emergency goal 85</v>
      </c>
      <c r="E255" s="4" t="n">
        <v>15000</v>
      </c>
      <c r="F255" s="4" t="n">
        <v>13500</v>
      </c>
      <c r="G255" s="4" t="n">
        <v>300</v>
      </c>
      <c r="H255" s="5" t="n">
        <v>47026</v>
      </c>
      <c r="I255" s="1" t="str">
        <v>ACTIVE</v>
      </c>
      <c r="J255" s="4" t="n">
        <f>MAX(E255-F255,0)</f>
        <v>1500</v>
      </c>
      <c r="K255" s="6" t="n">
        <f>F255/E255</f>
        <v>0.9</v>
      </c>
    </row>
    <row r="256" ht="23" customHeight="1">
      <c r="A256" s="1" t="str">
        <v>G0255</v>
      </c>
      <c r="B256" s="1" t="str">
        <v>U085</v>
      </c>
      <c r="C256" s="1" t="str">
        <v>COLLEGE</v>
      </c>
      <c r="D256" s="1" t="str">
        <v>college goal 85</v>
      </c>
      <c r="E256" s="4" t="n">
        <v>40000</v>
      </c>
      <c r="F256" s="4" t="n">
        <v>18500</v>
      </c>
      <c r="G256" s="4" t="n">
        <v>450</v>
      </c>
      <c r="H256" s="5" t="n">
        <v>47391</v>
      </c>
      <c r="I256" s="1" t="str">
        <v>ACTIVE</v>
      </c>
      <c r="J256" s="4" t="n">
        <f>MAX(E256-F256,0)</f>
        <v>21500</v>
      </c>
      <c r="K256" s="6" t="n">
        <f>F256/E256</f>
        <v>0.4625</v>
      </c>
    </row>
    <row r="257" ht="23" customHeight="1">
      <c r="A257" s="1" t="str">
        <v>G0256</v>
      </c>
      <c r="B257" s="1" t="str">
        <v>U086</v>
      </c>
      <c r="C257" s="1" t="str">
        <v>RETIREMENT</v>
      </c>
      <c r="D257" s="1" t="str">
        <v>retirement goal 86</v>
      </c>
      <c r="E257" s="4" t="n">
        <v>100000</v>
      </c>
      <c r="F257" s="4" t="n">
        <v>28600</v>
      </c>
      <c r="G257" s="4" t="n">
        <v>150</v>
      </c>
      <c r="H257" s="5" t="n">
        <v>46661</v>
      </c>
      <c r="I257" s="1" t="str">
        <v>ACTIVE</v>
      </c>
      <c r="J257" s="4" t="n">
        <f>MAX(E257-F257,0)</f>
        <v>71400</v>
      </c>
      <c r="K257" s="6" t="n">
        <f>F257/E257</f>
        <v>0.286</v>
      </c>
    </row>
    <row r="258" ht="23" customHeight="1">
      <c r="A258" s="1" t="str">
        <v>G0257</v>
      </c>
      <c r="B258" s="1" t="str">
        <v>U086</v>
      </c>
      <c r="C258" s="1" t="str">
        <v>EMERGENCY</v>
      </c>
      <c r="D258" s="1" t="str">
        <v>emergency goal 86</v>
      </c>
      <c r="E258" s="4" t="n">
        <v>15000</v>
      </c>
      <c r="F258" s="4" t="n">
        <v>13600</v>
      </c>
      <c r="G258" s="4" t="n">
        <v>300</v>
      </c>
      <c r="H258" s="5" t="n">
        <v>47026</v>
      </c>
      <c r="I258" s="1" t="str">
        <v>ACTIVE</v>
      </c>
      <c r="J258" s="4" t="n">
        <f>MAX(E258-F258,0)</f>
        <v>1400</v>
      </c>
      <c r="K258" s="6" t="n">
        <f>F258/E258</f>
        <v>0.9066666666666666</v>
      </c>
    </row>
    <row r="259" ht="23" customHeight="1">
      <c r="A259" s="1" t="str">
        <v>G0258</v>
      </c>
      <c r="B259" s="1" t="str">
        <v>U086</v>
      </c>
      <c r="C259" s="1" t="str">
        <v>COLLEGE</v>
      </c>
      <c r="D259" s="1" t="str">
        <v>college goal 86</v>
      </c>
      <c r="E259" s="4" t="n">
        <v>40000</v>
      </c>
      <c r="F259" s="4" t="n">
        <v>18600</v>
      </c>
      <c r="G259" s="4" t="n">
        <v>450</v>
      </c>
      <c r="H259" s="5" t="n">
        <v>47391</v>
      </c>
      <c r="I259" s="1" t="str">
        <v>ACTIVE</v>
      </c>
      <c r="J259" s="4" t="n">
        <f>MAX(E259-F259,0)</f>
        <v>21400</v>
      </c>
      <c r="K259" s="6" t="n">
        <f>F259/E259</f>
        <v>0.465</v>
      </c>
    </row>
    <row r="260" ht="23" customHeight="1">
      <c r="A260" s="1" t="str">
        <v>G0259</v>
      </c>
      <c r="B260" s="1" t="str">
        <v>U087</v>
      </c>
      <c r="C260" s="1" t="str">
        <v>RETIREMENT</v>
      </c>
      <c r="D260" s="1" t="str">
        <v>retirement goal 87</v>
      </c>
      <c r="E260" s="4" t="n">
        <v>100000</v>
      </c>
      <c r="F260" s="4" t="n">
        <v>28700</v>
      </c>
      <c r="G260" s="4" t="n">
        <v>150</v>
      </c>
      <c r="H260" s="5" t="n">
        <v>46661</v>
      </c>
      <c r="I260" s="1" t="str">
        <v>ACTIVE</v>
      </c>
      <c r="J260" s="4" t="n">
        <f>MAX(E260-F260,0)</f>
        <v>71300</v>
      </c>
      <c r="K260" s="6" t="n">
        <f>F260/E260</f>
        <v>0.287</v>
      </c>
    </row>
    <row r="261" ht="23" customHeight="1">
      <c r="A261" s="1" t="str">
        <v>G0260</v>
      </c>
      <c r="B261" s="1" t="str">
        <v>U087</v>
      </c>
      <c r="C261" s="1" t="str">
        <v>EMERGENCY</v>
      </c>
      <c r="D261" s="1" t="str">
        <v>emergency goal 87</v>
      </c>
      <c r="E261" s="4" t="n">
        <v>15000</v>
      </c>
      <c r="F261" s="4" t="n">
        <v>13700</v>
      </c>
      <c r="G261" s="4" t="n">
        <v>300</v>
      </c>
      <c r="H261" s="5" t="n">
        <v>47026</v>
      </c>
      <c r="I261" s="1" t="str">
        <v>ACTIVE</v>
      </c>
      <c r="J261" s="4" t="n">
        <f>MAX(E261-F261,0)</f>
        <v>1300</v>
      </c>
      <c r="K261" s="6" t="n">
        <f>F261/E261</f>
        <v>0.9133333333333333</v>
      </c>
    </row>
    <row r="262" ht="23" customHeight="1">
      <c r="A262" s="1" t="str">
        <v>G0261</v>
      </c>
      <c r="B262" s="1" t="str">
        <v>U087</v>
      </c>
      <c r="C262" s="1" t="str">
        <v>COLLEGE</v>
      </c>
      <c r="D262" s="1" t="str">
        <v>college goal 87</v>
      </c>
      <c r="E262" s="4" t="n">
        <v>40000</v>
      </c>
      <c r="F262" s="4" t="n">
        <v>18700</v>
      </c>
      <c r="G262" s="4" t="n">
        <v>450</v>
      </c>
      <c r="H262" s="5" t="n">
        <v>47391</v>
      </c>
      <c r="I262" s="1" t="str">
        <v>ACTIVE</v>
      </c>
      <c r="J262" s="4" t="n">
        <f>MAX(E262-F262,0)</f>
        <v>21300</v>
      </c>
      <c r="K262" s="6" t="n">
        <f>F262/E262</f>
        <v>0.4675</v>
      </c>
    </row>
    <row r="263" ht="23" customHeight="1">
      <c r="A263" s="1" t="str">
        <v>G0262</v>
      </c>
      <c r="B263" s="1" t="str">
        <v>U088</v>
      </c>
      <c r="C263" s="1" t="str">
        <v>RETIREMENT</v>
      </c>
      <c r="D263" s="1" t="str">
        <v>retirement goal 88</v>
      </c>
      <c r="E263" s="4" t="n">
        <v>100000</v>
      </c>
      <c r="F263" s="4" t="n">
        <v>28800</v>
      </c>
      <c r="G263" s="4" t="n">
        <v>150</v>
      </c>
      <c r="H263" s="5" t="n">
        <v>46661</v>
      </c>
      <c r="I263" s="1" t="str">
        <v>ACTIVE</v>
      </c>
      <c r="J263" s="4" t="n">
        <f>MAX(E263-F263,0)</f>
        <v>71200</v>
      </c>
      <c r="K263" s="6" t="n">
        <f>F263/E263</f>
        <v>0.288</v>
      </c>
    </row>
    <row r="264" ht="23" customHeight="1">
      <c r="A264" s="1" t="str">
        <v>G0263</v>
      </c>
      <c r="B264" s="1" t="str">
        <v>U088</v>
      </c>
      <c r="C264" s="1" t="str">
        <v>EMERGENCY</v>
      </c>
      <c r="D264" s="1" t="str">
        <v>emergency goal 88</v>
      </c>
      <c r="E264" s="4" t="n">
        <v>15000</v>
      </c>
      <c r="F264" s="4" t="n">
        <v>13800</v>
      </c>
      <c r="G264" s="4" t="n">
        <v>300</v>
      </c>
      <c r="H264" s="5" t="n">
        <v>47026</v>
      </c>
      <c r="I264" s="1" t="str">
        <v>ACTIVE</v>
      </c>
      <c r="J264" s="4" t="n">
        <f>MAX(E264-F264,0)</f>
        <v>1200</v>
      </c>
      <c r="K264" s="6" t="n">
        <f>F264/E264</f>
        <v>0.92</v>
      </c>
    </row>
    <row r="265" ht="23" customHeight="1">
      <c r="A265" s="1" t="str">
        <v>G0264</v>
      </c>
      <c r="B265" s="1" t="str">
        <v>U088</v>
      </c>
      <c r="C265" s="1" t="str">
        <v>COLLEGE</v>
      </c>
      <c r="D265" s="1" t="str">
        <v>college goal 88</v>
      </c>
      <c r="E265" s="4" t="n">
        <v>40000</v>
      </c>
      <c r="F265" s="4" t="n">
        <v>18800</v>
      </c>
      <c r="G265" s="4" t="n">
        <v>450</v>
      </c>
      <c r="H265" s="5" t="n">
        <v>47391</v>
      </c>
      <c r="I265" s="1" t="str">
        <v>ACTIVE</v>
      </c>
      <c r="J265" s="4" t="n">
        <f>MAX(E265-F265,0)</f>
        <v>21200</v>
      </c>
      <c r="K265" s="6" t="n">
        <f>F265/E265</f>
        <v>0.47</v>
      </c>
    </row>
    <row r="266" ht="23" customHeight="1">
      <c r="A266" s="1" t="str">
        <v>G0265</v>
      </c>
      <c r="B266" s="1" t="str">
        <v>U089</v>
      </c>
      <c r="C266" s="1" t="str">
        <v>RETIREMENT</v>
      </c>
      <c r="D266" s="1" t="str">
        <v>retirement goal 89</v>
      </c>
      <c r="E266" s="4" t="n">
        <v>100000</v>
      </c>
      <c r="F266" s="4" t="n">
        <v>28900</v>
      </c>
      <c r="G266" s="4" t="n">
        <v>150</v>
      </c>
      <c r="H266" s="5" t="n">
        <v>46661</v>
      </c>
      <c r="I266" s="1" t="str">
        <v>ACTIVE</v>
      </c>
      <c r="J266" s="4" t="n">
        <f>MAX(E266-F266,0)</f>
        <v>71100</v>
      </c>
      <c r="K266" s="6" t="n">
        <f>F266/E266</f>
        <v>0.289</v>
      </c>
    </row>
    <row r="267" ht="23" customHeight="1">
      <c r="A267" s="1" t="str">
        <v>G0266</v>
      </c>
      <c r="B267" s="1" t="str">
        <v>U089</v>
      </c>
      <c r="C267" s="1" t="str">
        <v>EMERGENCY</v>
      </c>
      <c r="D267" s="1" t="str">
        <v>emergency goal 89</v>
      </c>
      <c r="E267" s="4" t="n">
        <v>15000</v>
      </c>
      <c r="F267" s="4" t="n">
        <v>13900</v>
      </c>
      <c r="G267" s="4" t="n">
        <v>300</v>
      </c>
      <c r="H267" s="5" t="n">
        <v>47026</v>
      </c>
      <c r="I267" s="1" t="str">
        <v>ACTIVE</v>
      </c>
      <c r="J267" s="4" t="n">
        <f>MAX(E267-F267,0)</f>
        <v>1100</v>
      </c>
      <c r="K267" s="6" t="n">
        <f>F267/E267</f>
        <v>0.9266666666666666</v>
      </c>
    </row>
    <row r="268" ht="23" customHeight="1">
      <c r="A268" s="1" t="str">
        <v>G0267</v>
      </c>
      <c r="B268" s="1" t="str">
        <v>U089</v>
      </c>
      <c r="C268" s="1" t="str">
        <v>COLLEGE</v>
      </c>
      <c r="D268" s="1" t="str">
        <v>college goal 89</v>
      </c>
      <c r="E268" s="4" t="n">
        <v>40000</v>
      </c>
      <c r="F268" s="4" t="n">
        <v>18900</v>
      </c>
      <c r="G268" s="4" t="n">
        <v>450</v>
      </c>
      <c r="H268" s="5" t="n">
        <v>47391</v>
      </c>
      <c r="I268" s="1" t="str">
        <v>ACTIVE</v>
      </c>
      <c r="J268" s="4" t="n">
        <f>MAX(E268-F268,0)</f>
        <v>21100</v>
      </c>
      <c r="K268" s="6" t="n">
        <f>F268/E268</f>
        <v>0.4725</v>
      </c>
    </row>
    <row r="269" ht="23" customHeight="1">
      <c r="A269" s="1" t="str">
        <v>G0268</v>
      </c>
      <c r="B269" s="1" t="str">
        <v>U090</v>
      </c>
      <c r="C269" s="1" t="str">
        <v>RETIREMENT</v>
      </c>
      <c r="D269" s="1" t="str">
        <v>retirement goal 90</v>
      </c>
      <c r="E269" s="4" t="n">
        <v>100000</v>
      </c>
      <c r="F269" s="4" t="n">
        <v>29000</v>
      </c>
      <c r="G269" s="4" t="n">
        <v>150</v>
      </c>
      <c r="H269" s="5" t="n">
        <v>46661</v>
      </c>
      <c r="I269" s="1" t="str">
        <v>ACTIVE</v>
      </c>
      <c r="J269" s="4" t="n">
        <f>MAX(E269-F269,0)</f>
        <v>71000</v>
      </c>
      <c r="K269" s="6" t="n">
        <f>F269/E269</f>
        <v>0.29</v>
      </c>
    </row>
    <row r="270" ht="23" customHeight="1">
      <c r="A270" s="1" t="str">
        <v>G0269</v>
      </c>
      <c r="B270" s="1" t="str">
        <v>U090</v>
      </c>
      <c r="C270" s="1" t="str">
        <v>EMERGENCY</v>
      </c>
      <c r="D270" s="1" t="str">
        <v>emergency goal 90</v>
      </c>
      <c r="E270" s="4" t="n">
        <v>15000</v>
      </c>
      <c r="F270" s="4" t="n">
        <v>14000</v>
      </c>
      <c r="G270" s="4" t="n">
        <v>300</v>
      </c>
      <c r="H270" s="5" t="n">
        <v>47026</v>
      </c>
      <c r="I270" s="1" t="str">
        <v>ACTIVE</v>
      </c>
      <c r="J270" s="4" t="n">
        <f>MAX(E270-F270,0)</f>
        <v>1000</v>
      </c>
      <c r="K270" s="6" t="n">
        <f>F270/E270</f>
        <v>0.9333333333333333</v>
      </c>
    </row>
    <row r="271" ht="23" customHeight="1">
      <c r="A271" s="1" t="str">
        <v>G0270</v>
      </c>
      <c r="B271" s="1" t="str">
        <v>U090</v>
      </c>
      <c r="C271" s="1" t="str">
        <v>COLLEGE</v>
      </c>
      <c r="D271" s="1" t="str">
        <v>college goal 90</v>
      </c>
      <c r="E271" s="4" t="n">
        <v>40000</v>
      </c>
      <c r="F271" s="4" t="n">
        <v>19000</v>
      </c>
      <c r="G271" s="4" t="n">
        <v>450</v>
      </c>
      <c r="H271" s="5" t="n">
        <v>47391</v>
      </c>
      <c r="I271" s="1" t="str">
        <v>ACTIVE</v>
      </c>
      <c r="J271" s="4" t="n">
        <f>MAX(E271-F271,0)</f>
        <v>21000</v>
      </c>
      <c r="K271" s="6" t="n">
        <f>F271/E271</f>
        <v>0.475</v>
      </c>
    </row>
    <row r="272" ht="23" customHeight="1">
      <c r="A272" s="1" t="str">
        <v>G0271</v>
      </c>
      <c r="B272" s="1" t="str">
        <v>U091</v>
      </c>
      <c r="C272" s="1" t="str">
        <v>RETIREMENT</v>
      </c>
      <c r="D272" s="1" t="str">
        <v>retirement goal 91</v>
      </c>
      <c r="E272" s="4" t="n">
        <v>100000</v>
      </c>
      <c r="F272" s="4" t="n">
        <v>29100</v>
      </c>
      <c r="G272" s="4" t="n">
        <v>150</v>
      </c>
      <c r="H272" s="5" t="n">
        <v>46661</v>
      </c>
      <c r="I272" s="1" t="str">
        <v>ACTIVE</v>
      </c>
      <c r="J272" s="4" t="n">
        <f>MAX(E272-F272,0)</f>
        <v>70900</v>
      </c>
      <c r="K272" s="6" t="n">
        <f>F272/E272</f>
        <v>0.291</v>
      </c>
    </row>
    <row r="273" ht="23" customHeight="1">
      <c r="A273" s="1" t="str">
        <v>G0272</v>
      </c>
      <c r="B273" s="1" t="str">
        <v>U091</v>
      </c>
      <c r="C273" s="1" t="str">
        <v>EMERGENCY</v>
      </c>
      <c r="D273" s="1" t="str">
        <v>emergency goal 91</v>
      </c>
      <c r="E273" s="4" t="n">
        <v>15000</v>
      </c>
      <c r="F273" s="4" t="n">
        <v>14100</v>
      </c>
      <c r="G273" s="4" t="n">
        <v>300</v>
      </c>
      <c r="H273" s="5" t="n">
        <v>47026</v>
      </c>
      <c r="I273" s="1" t="str">
        <v>ACTIVE</v>
      </c>
      <c r="J273" s="4" t="n">
        <f>MAX(E273-F273,0)</f>
        <v>900</v>
      </c>
      <c r="K273" s="6" t="n">
        <f>F273/E273</f>
        <v>0.94</v>
      </c>
    </row>
    <row r="274" ht="23" customHeight="1">
      <c r="A274" s="1" t="str">
        <v>G0273</v>
      </c>
      <c r="B274" s="1" t="str">
        <v>U091</v>
      </c>
      <c r="C274" s="1" t="str">
        <v>COLLEGE</v>
      </c>
      <c r="D274" s="1" t="str">
        <v>college goal 91</v>
      </c>
      <c r="E274" s="4" t="n">
        <v>40000</v>
      </c>
      <c r="F274" s="4" t="n">
        <v>19100</v>
      </c>
      <c r="G274" s="4" t="n">
        <v>450</v>
      </c>
      <c r="H274" s="5" t="n">
        <v>47391</v>
      </c>
      <c r="I274" s="1" t="str">
        <v>ACTIVE</v>
      </c>
      <c r="J274" s="4" t="n">
        <f>MAX(E274-F274,0)</f>
        <v>20900</v>
      </c>
      <c r="K274" s="6" t="n">
        <f>F274/E274</f>
        <v>0.4775</v>
      </c>
    </row>
    <row r="275" ht="23" customHeight="1">
      <c r="A275" s="1" t="str">
        <v>G0274</v>
      </c>
      <c r="B275" s="1" t="str">
        <v>U092</v>
      </c>
      <c r="C275" s="1" t="str">
        <v>RETIREMENT</v>
      </c>
      <c r="D275" s="1" t="str">
        <v>retirement goal 92</v>
      </c>
      <c r="E275" s="4" t="n">
        <v>100000</v>
      </c>
      <c r="F275" s="4" t="n">
        <v>29200</v>
      </c>
      <c r="G275" s="4" t="n">
        <v>150</v>
      </c>
      <c r="H275" s="5" t="n">
        <v>46661</v>
      </c>
      <c r="I275" s="1" t="str">
        <v>ACTIVE</v>
      </c>
      <c r="J275" s="4" t="n">
        <f>MAX(E275-F275,0)</f>
        <v>70800</v>
      </c>
      <c r="K275" s="6" t="n">
        <f>F275/E275</f>
        <v>0.292</v>
      </c>
    </row>
    <row r="276" ht="23" customHeight="1">
      <c r="A276" s="1" t="str">
        <v>G0275</v>
      </c>
      <c r="B276" s="1" t="str">
        <v>U092</v>
      </c>
      <c r="C276" s="1" t="str">
        <v>EMERGENCY</v>
      </c>
      <c r="D276" s="1" t="str">
        <v>emergency goal 92</v>
      </c>
      <c r="E276" s="4" t="n">
        <v>15000</v>
      </c>
      <c r="F276" s="4" t="n">
        <v>14200</v>
      </c>
      <c r="G276" s="4" t="n">
        <v>300</v>
      </c>
      <c r="H276" s="5" t="n">
        <v>47026</v>
      </c>
      <c r="I276" s="1" t="str">
        <v>ACTIVE</v>
      </c>
      <c r="J276" s="4" t="n">
        <f>MAX(E276-F276,0)</f>
        <v>800</v>
      </c>
      <c r="K276" s="6" t="n">
        <f>F276/E276</f>
        <v>0.9466666666666667</v>
      </c>
    </row>
    <row r="277" ht="23" customHeight="1">
      <c r="A277" s="1" t="str">
        <v>G0276</v>
      </c>
      <c r="B277" s="1" t="str">
        <v>U092</v>
      </c>
      <c r="C277" s="1" t="str">
        <v>COLLEGE</v>
      </c>
      <c r="D277" s="1" t="str">
        <v>college goal 92</v>
      </c>
      <c r="E277" s="4" t="n">
        <v>40000</v>
      </c>
      <c r="F277" s="4" t="n">
        <v>19200</v>
      </c>
      <c r="G277" s="4" t="n">
        <v>450</v>
      </c>
      <c r="H277" s="5" t="n">
        <v>47391</v>
      </c>
      <c r="I277" s="1" t="str">
        <v>ACTIVE</v>
      </c>
      <c r="J277" s="4" t="n">
        <f>MAX(E277-F277,0)</f>
        <v>20800</v>
      </c>
      <c r="K277" s="6" t="n">
        <f>F277/E277</f>
        <v>0.48</v>
      </c>
    </row>
    <row r="278" ht="23" customHeight="1">
      <c r="A278" s="1" t="str">
        <v>G0277</v>
      </c>
      <c r="B278" s="1" t="str">
        <v>U093</v>
      </c>
      <c r="C278" s="1" t="str">
        <v>RETIREMENT</v>
      </c>
      <c r="D278" s="1" t="str">
        <v>retirement goal 93</v>
      </c>
      <c r="E278" s="4" t="n">
        <v>100000</v>
      </c>
      <c r="F278" s="4" t="n">
        <v>29300</v>
      </c>
      <c r="G278" s="4" t="n">
        <v>150</v>
      </c>
      <c r="H278" s="5" t="n">
        <v>46661</v>
      </c>
      <c r="I278" s="1" t="str">
        <v>ACTIVE</v>
      </c>
      <c r="J278" s="4" t="n">
        <f>MAX(E278-F278,0)</f>
        <v>70700</v>
      </c>
      <c r="K278" s="6" t="n">
        <f>F278/E278</f>
        <v>0.293</v>
      </c>
    </row>
    <row r="279" ht="23" customHeight="1">
      <c r="A279" s="1" t="str">
        <v>G0278</v>
      </c>
      <c r="B279" s="1" t="str">
        <v>U093</v>
      </c>
      <c r="C279" s="1" t="str">
        <v>EMERGENCY</v>
      </c>
      <c r="D279" s="1" t="str">
        <v>emergency goal 93</v>
      </c>
      <c r="E279" s="4" t="n">
        <v>15000</v>
      </c>
      <c r="F279" s="4" t="n">
        <v>14300</v>
      </c>
      <c r="G279" s="4" t="n">
        <v>300</v>
      </c>
      <c r="H279" s="5" t="n">
        <v>47026</v>
      </c>
      <c r="I279" s="1" t="str">
        <v>ACTIVE</v>
      </c>
      <c r="J279" s="4" t="n">
        <f>MAX(E279-F279,0)</f>
        <v>700</v>
      </c>
      <c r="K279" s="6" t="n">
        <f>F279/E279</f>
        <v>0.9533333333333334</v>
      </c>
    </row>
    <row r="280" ht="23" customHeight="1">
      <c r="A280" s="1" t="str">
        <v>G0279</v>
      </c>
      <c r="B280" s="1" t="str">
        <v>U093</v>
      </c>
      <c r="C280" s="1" t="str">
        <v>COLLEGE</v>
      </c>
      <c r="D280" s="1" t="str">
        <v>college goal 93</v>
      </c>
      <c r="E280" s="4" t="n">
        <v>40000</v>
      </c>
      <c r="F280" s="4" t="n">
        <v>19300</v>
      </c>
      <c r="G280" s="4" t="n">
        <v>450</v>
      </c>
      <c r="H280" s="5" t="n">
        <v>47391</v>
      </c>
      <c r="I280" s="1" t="str">
        <v>ACTIVE</v>
      </c>
      <c r="J280" s="4" t="n">
        <f>MAX(E280-F280,0)</f>
        <v>20700</v>
      </c>
      <c r="K280" s="6" t="n">
        <f>F280/E280</f>
        <v>0.4825</v>
      </c>
    </row>
    <row r="281" ht="23" customHeight="1">
      <c r="A281" s="1" t="str">
        <v>G0280</v>
      </c>
      <c r="B281" s="1" t="str">
        <v>U094</v>
      </c>
      <c r="C281" s="1" t="str">
        <v>RETIREMENT</v>
      </c>
      <c r="D281" s="1" t="str">
        <v>retirement goal 94</v>
      </c>
      <c r="E281" s="4" t="n">
        <v>100000</v>
      </c>
      <c r="F281" s="4" t="n">
        <v>29400</v>
      </c>
      <c r="G281" s="4" t="n">
        <v>150</v>
      </c>
      <c r="H281" s="5" t="n">
        <v>46661</v>
      </c>
      <c r="I281" s="1" t="str">
        <v>ACTIVE</v>
      </c>
      <c r="J281" s="4" t="n">
        <f>MAX(E281-F281,0)</f>
        <v>70600</v>
      </c>
      <c r="K281" s="6" t="n">
        <f>F281/E281</f>
        <v>0.294</v>
      </c>
    </row>
    <row r="282" ht="23" customHeight="1">
      <c r="A282" s="1" t="str">
        <v>G0281</v>
      </c>
      <c r="B282" s="1" t="str">
        <v>U094</v>
      </c>
      <c r="C282" s="1" t="str">
        <v>EMERGENCY</v>
      </c>
      <c r="D282" s="1" t="str">
        <v>emergency goal 94</v>
      </c>
      <c r="E282" s="4" t="n">
        <v>15000</v>
      </c>
      <c r="F282" s="4" t="n">
        <v>14400</v>
      </c>
      <c r="G282" s="4" t="n">
        <v>300</v>
      </c>
      <c r="H282" s="5" t="n">
        <v>47026</v>
      </c>
      <c r="I282" s="1" t="str">
        <v>ACTIVE</v>
      </c>
      <c r="J282" s="4" t="n">
        <f>MAX(E282-F282,0)</f>
        <v>600</v>
      </c>
      <c r="K282" s="6" t="n">
        <f>F282/E282</f>
        <v>0.96</v>
      </c>
    </row>
    <row r="283" ht="23" customHeight="1">
      <c r="A283" s="1" t="str">
        <v>G0282</v>
      </c>
      <c r="B283" s="1" t="str">
        <v>U094</v>
      </c>
      <c r="C283" s="1" t="str">
        <v>COLLEGE</v>
      </c>
      <c r="D283" s="1" t="str">
        <v>college goal 94</v>
      </c>
      <c r="E283" s="4" t="n">
        <v>40000</v>
      </c>
      <c r="F283" s="4" t="n">
        <v>19400</v>
      </c>
      <c r="G283" s="4" t="n">
        <v>450</v>
      </c>
      <c r="H283" s="5" t="n">
        <v>47391</v>
      </c>
      <c r="I283" s="1" t="str">
        <v>ACTIVE</v>
      </c>
      <c r="J283" s="4" t="n">
        <f>MAX(E283-F283,0)</f>
        <v>20600</v>
      </c>
      <c r="K283" s="6" t="n">
        <f>F283/E283</f>
        <v>0.485</v>
      </c>
    </row>
    <row r="284" ht="23" customHeight="1">
      <c r="A284" s="1" t="str">
        <v>G0283</v>
      </c>
      <c r="B284" s="1" t="str">
        <v>U095</v>
      </c>
      <c r="C284" s="1" t="str">
        <v>RETIREMENT</v>
      </c>
      <c r="D284" s="1" t="str">
        <v>retirement goal 95</v>
      </c>
      <c r="E284" s="4" t="n">
        <v>100000</v>
      </c>
      <c r="F284" s="4" t="n">
        <v>29500</v>
      </c>
      <c r="G284" s="4" t="n">
        <v>150</v>
      </c>
      <c r="H284" s="5" t="n">
        <v>46661</v>
      </c>
      <c r="I284" s="1" t="str">
        <v>ACTIVE</v>
      </c>
      <c r="J284" s="4" t="n">
        <f>MAX(E284-F284,0)</f>
        <v>70500</v>
      </c>
      <c r="K284" s="6" t="n">
        <f>F284/E284</f>
        <v>0.295</v>
      </c>
    </row>
    <row r="285" ht="23" customHeight="1">
      <c r="A285" s="1" t="str">
        <v>G0284</v>
      </c>
      <c r="B285" s="1" t="str">
        <v>U095</v>
      </c>
      <c r="C285" s="1" t="str">
        <v>EMERGENCY</v>
      </c>
      <c r="D285" s="1" t="str">
        <v>emergency goal 95</v>
      </c>
      <c r="E285" s="4" t="n">
        <v>15000</v>
      </c>
      <c r="F285" s="4" t="n">
        <v>14500</v>
      </c>
      <c r="G285" s="4" t="n">
        <v>300</v>
      </c>
      <c r="H285" s="5" t="n">
        <v>47026</v>
      </c>
      <c r="I285" s="1" t="str">
        <v>ACTIVE</v>
      </c>
      <c r="J285" s="4" t="n">
        <f>MAX(E285-F285,0)</f>
        <v>500</v>
      </c>
      <c r="K285" s="6" t="n">
        <f>F285/E285</f>
        <v>0.9666666666666667</v>
      </c>
    </row>
    <row r="286" ht="23" customHeight="1">
      <c r="A286" s="1" t="str">
        <v>G0285</v>
      </c>
      <c r="B286" s="1" t="str">
        <v>U095</v>
      </c>
      <c r="C286" s="1" t="str">
        <v>COLLEGE</v>
      </c>
      <c r="D286" s="1" t="str">
        <v>college goal 95</v>
      </c>
      <c r="E286" s="4" t="n">
        <v>40000</v>
      </c>
      <c r="F286" s="4" t="n">
        <v>19500</v>
      </c>
      <c r="G286" s="4" t="n">
        <v>450</v>
      </c>
      <c r="H286" s="5" t="n">
        <v>47391</v>
      </c>
      <c r="I286" s="1" t="str">
        <v>ACTIVE</v>
      </c>
      <c r="J286" s="4" t="n">
        <f>MAX(E286-F286,0)</f>
        <v>20500</v>
      </c>
      <c r="K286" s="6" t="n">
        <f>F286/E286</f>
        <v>0.4875</v>
      </c>
    </row>
    <row r="287" ht="23" customHeight="1">
      <c r="A287" s="1" t="str">
        <v>G0286</v>
      </c>
      <c r="B287" s="1" t="str">
        <v>U096</v>
      </c>
      <c r="C287" s="1" t="str">
        <v>RETIREMENT</v>
      </c>
      <c r="D287" s="1" t="str">
        <v>retirement goal 96</v>
      </c>
      <c r="E287" s="4" t="n">
        <v>100000</v>
      </c>
      <c r="F287" s="4" t="n">
        <v>29600</v>
      </c>
      <c r="G287" s="4" t="n">
        <v>150</v>
      </c>
      <c r="H287" s="5" t="n">
        <v>46661</v>
      </c>
      <c r="I287" s="1" t="str">
        <v>ACTIVE</v>
      </c>
      <c r="J287" s="4" t="n">
        <f>MAX(E287-F287,0)</f>
        <v>70400</v>
      </c>
      <c r="K287" s="6" t="n">
        <f>F287/E287</f>
        <v>0.296</v>
      </c>
    </row>
    <row r="288" ht="23" customHeight="1">
      <c r="A288" s="1" t="str">
        <v>G0287</v>
      </c>
      <c r="B288" s="1" t="str">
        <v>U096</v>
      </c>
      <c r="C288" s="1" t="str">
        <v>EMERGENCY</v>
      </c>
      <c r="D288" s="1" t="str">
        <v>emergency goal 96</v>
      </c>
      <c r="E288" s="4" t="n">
        <v>15000</v>
      </c>
      <c r="F288" s="4" t="n">
        <v>14600</v>
      </c>
      <c r="G288" s="4" t="n">
        <v>300</v>
      </c>
      <c r="H288" s="5" t="n">
        <v>47026</v>
      </c>
      <c r="I288" s="1" t="str">
        <v>ACTIVE</v>
      </c>
      <c r="J288" s="4" t="n">
        <f>MAX(E288-F288,0)</f>
        <v>400</v>
      </c>
      <c r="K288" s="6" t="n">
        <f>F288/E288</f>
        <v>0.9733333333333334</v>
      </c>
    </row>
    <row r="289" ht="23" customHeight="1">
      <c r="A289" s="1" t="str">
        <v>G0288</v>
      </c>
      <c r="B289" s="1" t="str">
        <v>U096</v>
      </c>
      <c r="C289" s="1" t="str">
        <v>COLLEGE</v>
      </c>
      <c r="D289" s="1" t="str">
        <v>college goal 96</v>
      </c>
      <c r="E289" s="4" t="n">
        <v>40000</v>
      </c>
      <c r="F289" s="4" t="n">
        <v>19600</v>
      </c>
      <c r="G289" s="4" t="n">
        <v>450</v>
      </c>
      <c r="H289" s="5" t="n">
        <v>47391</v>
      </c>
      <c r="I289" s="1" t="str">
        <v>ACTIVE</v>
      </c>
      <c r="J289" s="4" t="n">
        <f>MAX(E289-F289,0)</f>
        <v>20400</v>
      </c>
      <c r="K289" s="6" t="n">
        <f>F289/E289</f>
        <v>0.49</v>
      </c>
    </row>
    <row r="290" ht="23" customHeight="1">
      <c r="A290" s="1" t="str">
        <v>G0289</v>
      </c>
      <c r="B290" s="1" t="str">
        <v>U097</v>
      </c>
      <c r="C290" s="1" t="str">
        <v>RETIREMENT</v>
      </c>
      <c r="D290" s="1" t="str">
        <v>retirement goal 97</v>
      </c>
      <c r="E290" s="4" t="n">
        <v>100000</v>
      </c>
      <c r="F290" s="4" t="n">
        <v>29700</v>
      </c>
      <c r="G290" s="4" t="n">
        <v>150</v>
      </c>
      <c r="H290" s="5" t="n">
        <v>46661</v>
      </c>
      <c r="I290" s="1" t="str">
        <v>ACTIVE</v>
      </c>
      <c r="J290" s="4" t="n">
        <f>MAX(E290-F290,0)</f>
        <v>70300</v>
      </c>
      <c r="K290" s="6" t="n">
        <f>F290/E290</f>
        <v>0.297</v>
      </c>
    </row>
    <row r="291" ht="23" customHeight="1">
      <c r="A291" s="1" t="str">
        <v>G0290</v>
      </c>
      <c r="B291" s="1" t="str">
        <v>U097</v>
      </c>
      <c r="C291" s="1" t="str">
        <v>EMERGENCY</v>
      </c>
      <c r="D291" s="1" t="str">
        <v>emergency goal 97</v>
      </c>
      <c r="E291" s="4" t="n">
        <v>15000</v>
      </c>
      <c r="F291" s="4" t="n">
        <v>14700</v>
      </c>
      <c r="G291" s="4" t="n">
        <v>300</v>
      </c>
      <c r="H291" s="5" t="n">
        <v>47026</v>
      </c>
      <c r="I291" s="1" t="str">
        <v>ACTIVE</v>
      </c>
      <c r="J291" s="4" t="n">
        <f>MAX(E291-F291,0)</f>
        <v>300</v>
      </c>
      <c r="K291" s="6" t="n">
        <f>F291/E291</f>
        <v>0.98</v>
      </c>
    </row>
    <row r="292" ht="23" customHeight="1">
      <c r="A292" s="1" t="str">
        <v>G0291</v>
      </c>
      <c r="B292" s="1" t="str">
        <v>U097</v>
      </c>
      <c r="C292" s="1" t="str">
        <v>COLLEGE</v>
      </c>
      <c r="D292" s="1" t="str">
        <v>college goal 97</v>
      </c>
      <c r="E292" s="4" t="n">
        <v>40000</v>
      </c>
      <c r="F292" s="4" t="n">
        <v>19700</v>
      </c>
      <c r="G292" s="4" t="n">
        <v>450</v>
      </c>
      <c r="H292" s="5" t="n">
        <v>47391</v>
      </c>
      <c r="I292" s="1" t="str">
        <v>ACTIVE</v>
      </c>
      <c r="J292" s="4" t="n">
        <f>MAX(E292-F292,0)</f>
        <v>20300</v>
      </c>
      <c r="K292" s="6" t="n">
        <f>F292/E292</f>
        <v>0.4925</v>
      </c>
    </row>
    <row r="293" ht="23" customHeight="1">
      <c r="A293" s="1" t="str">
        <v>G0292</v>
      </c>
      <c r="B293" s="1" t="str">
        <v>U098</v>
      </c>
      <c r="C293" s="1" t="str">
        <v>RETIREMENT</v>
      </c>
      <c r="D293" s="1" t="str">
        <v>retirement goal 98</v>
      </c>
      <c r="E293" s="4" t="n">
        <v>100000</v>
      </c>
      <c r="F293" s="4" t="n">
        <v>29800</v>
      </c>
      <c r="G293" s="4" t="n">
        <v>150</v>
      </c>
      <c r="H293" s="5" t="n">
        <v>46661</v>
      </c>
      <c r="I293" s="1" t="str">
        <v>ACTIVE</v>
      </c>
      <c r="J293" s="4" t="n">
        <f>MAX(E293-F293,0)</f>
        <v>70200</v>
      </c>
      <c r="K293" s="6" t="n">
        <f>F293/E293</f>
        <v>0.298</v>
      </c>
    </row>
    <row r="294" ht="23" customHeight="1">
      <c r="A294" s="1" t="str">
        <v>G0293</v>
      </c>
      <c r="B294" s="1" t="str">
        <v>U098</v>
      </c>
      <c r="C294" s="1" t="str">
        <v>EMERGENCY</v>
      </c>
      <c r="D294" s="1" t="str">
        <v>emergency goal 98</v>
      </c>
      <c r="E294" s="4" t="n">
        <v>15000</v>
      </c>
      <c r="F294" s="4" t="n">
        <v>14800</v>
      </c>
      <c r="G294" s="4" t="n">
        <v>300</v>
      </c>
      <c r="H294" s="5" t="n">
        <v>47026</v>
      </c>
      <c r="I294" s="1" t="str">
        <v>ACTIVE</v>
      </c>
      <c r="J294" s="4" t="n">
        <f>MAX(E294-F294,0)</f>
        <v>200</v>
      </c>
      <c r="K294" s="6" t="n">
        <f>F294/E294</f>
        <v>0.9866666666666667</v>
      </c>
    </row>
    <row r="295" ht="23" customHeight="1">
      <c r="A295" s="1" t="str">
        <v>G0294</v>
      </c>
      <c r="B295" s="1" t="str">
        <v>U098</v>
      </c>
      <c r="C295" s="1" t="str">
        <v>COLLEGE</v>
      </c>
      <c r="D295" s="1" t="str">
        <v>college goal 98</v>
      </c>
      <c r="E295" s="4" t="n">
        <v>40000</v>
      </c>
      <c r="F295" s="4" t="n">
        <v>19800</v>
      </c>
      <c r="G295" s="4" t="n">
        <v>450</v>
      </c>
      <c r="H295" s="5" t="n">
        <v>47391</v>
      </c>
      <c r="I295" s="1" t="str">
        <v>ACTIVE</v>
      </c>
      <c r="J295" s="4" t="n">
        <f>MAX(E295-F295,0)</f>
        <v>20200</v>
      </c>
      <c r="K295" s="6" t="n">
        <f>F295/E295</f>
        <v>0.495</v>
      </c>
    </row>
    <row r="296" ht="23" customHeight="1">
      <c r="A296" s="1" t="str">
        <v>G0295</v>
      </c>
      <c r="B296" s="1" t="str">
        <v>U099</v>
      </c>
      <c r="C296" s="1" t="str">
        <v>RETIREMENT</v>
      </c>
      <c r="D296" s="1" t="str">
        <v>retirement goal 99</v>
      </c>
      <c r="E296" s="4" t="n">
        <v>100000</v>
      </c>
      <c r="F296" s="4" t="n">
        <v>29900</v>
      </c>
      <c r="G296" s="4" t="n">
        <v>150</v>
      </c>
      <c r="H296" s="5" t="n">
        <v>46661</v>
      </c>
      <c r="I296" s="1" t="str">
        <v>ACTIVE</v>
      </c>
      <c r="J296" s="4" t="n">
        <f>MAX(E296-F296,0)</f>
        <v>70100</v>
      </c>
      <c r="K296" s="6" t="n">
        <f>F296/E296</f>
        <v>0.299</v>
      </c>
    </row>
    <row r="297" ht="23" customHeight="1">
      <c r="A297" s="1" t="str">
        <v>G0296</v>
      </c>
      <c r="B297" s="1" t="str">
        <v>U099</v>
      </c>
      <c r="C297" s="1" t="str">
        <v>EMERGENCY</v>
      </c>
      <c r="D297" s="1" t="str">
        <v>emergency goal 99</v>
      </c>
      <c r="E297" s="4" t="n">
        <v>15000</v>
      </c>
      <c r="F297" s="4" t="n">
        <v>14900</v>
      </c>
      <c r="G297" s="4" t="n">
        <v>300</v>
      </c>
      <c r="H297" s="5" t="n">
        <v>47026</v>
      </c>
      <c r="I297" s="1" t="str">
        <v>ACTIVE</v>
      </c>
      <c r="J297" s="4" t="n">
        <f>MAX(E297-F297,0)</f>
        <v>100</v>
      </c>
      <c r="K297" s="6" t="n">
        <f>F297/E297</f>
        <v>0.9933333333333333</v>
      </c>
    </row>
    <row r="298" ht="23" customHeight="1">
      <c r="A298" s="1" t="str">
        <v>G0297</v>
      </c>
      <c r="B298" s="1" t="str">
        <v>U099</v>
      </c>
      <c r="C298" s="1" t="str">
        <v>COLLEGE</v>
      </c>
      <c r="D298" s="1" t="str">
        <v>college goal 99</v>
      </c>
      <c r="E298" s="4" t="n">
        <v>40000</v>
      </c>
      <c r="F298" s="4" t="n">
        <v>19900</v>
      </c>
      <c r="G298" s="4" t="n">
        <v>450</v>
      </c>
      <c r="H298" s="5" t="n">
        <v>47391</v>
      </c>
      <c r="I298" s="1" t="str">
        <v>ACTIVE</v>
      </c>
      <c r="J298" s="4" t="n">
        <f>MAX(E298-F298,0)</f>
        <v>20100</v>
      </c>
      <c r="K298" s="6" t="n">
        <f>F298/E298</f>
        <v>0.4975</v>
      </c>
    </row>
    <row r="299" ht="23" customHeight="1">
      <c r="A299" s="1" t="str">
        <v>G0298</v>
      </c>
      <c r="B299" s="1" t="str">
        <v>U100</v>
      </c>
      <c r="C299" s="1" t="str">
        <v>RETIREMENT</v>
      </c>
      <c r="D299" s="1" t="str">
        <v>retirement goal 100</v>
      </c>
      <c r="E299" s="4" t="n">
        <v>100000</v>
      </c>
      <c r="F299" s="4" t="n">
        <v>30000</v>
      </c>
      <c r="G299" s="4" t="n">
        <v>150</v>
      </c>
      <c r="H299" s="5" t="n">
        <v>46661</v>
      </c>
      <c r="I299" s="1" t="str">
        <v>ACTIVE</v>
      </c>
      <c r="J299" s="4" t="n">
        <f>MAX(E299-F299,0)</f>
        <v>70000</v>
      </c>
      <c r="K299" s="6" t="n">
        <f>F299/E299</f>
        <v>0.3</v>
      </c>
    </row>
    <row r="300" ht="23" customHeight="1">
      <c r="A300" s="1" t="str">
        <v>G0299</v>
      </c>
      <c r="B300" s="1" t="str">
        <v>U100</v>
      </c>
      <c r="C300" s="1" t="str">
        <v>EMERGENCY</v>
      </c>
      <c r="D300" s="1" t="str">
        <v>emergency goal 100</v>
      </c>
      <c r="E300" s="4" t="n">
        <v>15000</v>
      </c>
      <c r="F300" s="4" t="n">
        <v>15000</v>
      </c>
      <c r="G300" s="4" t="n">
        <v>300</v>
      </c>
      <c r="H300" s="5" t="n">
        <v>47026</v>
      </c>
      <c r="I300" s="1" t="str">
        <v>ACTIVE</v>
      </c>
      <c r="J300" s="4" t="n">
        <f>MAX(E300-F300,0)</f>
        <v>0</v>
      </c>
      <c r="K300" s="6" t="n">
        <f>F300/E300</f>
        <v>1</v>
      </c>
    </row>
    <row r="301" ht="23" customHeight="1">
      <c r="A301" s="1" t="str">
        <v>G0300</v>
      </c>
      <c r="B301" s="1" t="str">
        <v>U100</v>
      </c>
      <c r="C301" s="1" t="str">
        <v>COLLEGE</v>
      </c>
      <c r="D301" s="1" t="str">
        <v>college goal 100</v>
      </c>
      <c r="E301" s="4" t="n">
        <v>40000</v>
      </c>
      <c r="F301" s="4" t="n">
        <v>20000</v>
      </c>
      <c r="G301" s="4" t="n">
        <v>450</v>
      </c>
      <c r="H301" s="5" t="n">
        <v>47391</v>
      </c>
      <c r="I301" s="1" t="str">
        <v>ACTIVE</v>
      </c>
      <c r="J301" s="4" t="n">
        <f>MAX(E301-F301,0)</f>
        <v>20000</v>
      </c>
      <c r="K301" s="6" t="n">
        <f>F301/E301</f>
        <v>0.5</v>
      </c>
    </row>
  </sheetData>
  <dataValidations count="2">
    <dataValidation type="list" sqref="C2:C301">
      <formula1>"RETIREMENT,EMERGENCY,COLLEGE"</formula1>
    </dataValidation>
    <dataValidation type="list" sqref="I2:I301">
      <formula1>"ACTIVE,PAUSED,COMPLETED"</formula1>
    </dataValidation>
  </dataValidations>
  <pageMargins left="0.7" right="0.7" top="0.75" bottom="0.75" header="0.3" footer="0.3"/>
  <tableParts count="1">
    <tablePart xmlns:r="http://schemas.openxmlformats.org/officeDocument/2006/relationships" r:id="R5d01a99cbd9c4184"/>
  </tableParts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3" hidden="0" customWidth="1"/>
    <col min="3" max="3" width="23" hidden="0" customWidth="1"/>
    <col min="4" max="4" width="17" hidden="0" customWidth="1"/>
    <col min="5" max="5" width="19" hidden="0" customWidth="1"/>
    <col min="6" max="6" width="19" hidden="0" customWidth="1"/>
    <col min="7" max="7" width="14" hidden="0" customWidth="1"/>
  </cols>
  <sheetData>
    <row r="1" ht="30" customHeight="1">
      <c r="A1" s="3" t="str">
        <v>transaction_id</v>
      </c>
      <c r="B1" s="3" t="str">
        <v>user_id</v>
      </c>
      <c r="C1" s="3" t="str">
        <v>transaction_date</v>
      </c>
      <c r="D1" s="3" t="str">
        <v>direction</v>
      </c>
      <c r="E1" s="3" t="str">
        <v>category</v>
      </c>
      <c r="F1" s="3" t="str">
        <v>amount</v>
      </c>
      <c r="G1" s="3" t="str">
        <v>currency</v>
      </c>
    </row>
    <row r="2" ht="23" customHeight="1">
      <c r="A2" s="1" t="str">
        <v>T0001</v>
      </c>
      <c r="B2" s="1" t="str">
        <v>U001</v>
      </c>
      <c r="C2" s="5" t="n">
        <v>46296</v>
      </c>
      <c r="D2" s="1" t="str">
        <v>INCOME</v>
      </c>
      <c r="E2" s="1" t="str">
        <v>SALARY</v>
      </c>
      <c r="F2" s="4" t="n">
        <v>5010</v>
      </c>
      <c r="G2" s="1" t="str">
        <v>USD</v>
      </c>
    </row>
    <row r="3" ht="23" customHeight="1">
      <c r="A3" s="1" t="str">
        <v>T0002</v>
      </c>
      <c r="B3" s="1" t="str">
        <v>U001</v>
      </c>
      <c r="C3" s="5" t="n">
        <v>46297</v>
      </c>
      <c r="D3" s="1" t="str">
        <v>EXPENSE</v>
      </c>
      <c r="E3" s="1" t="str">
        <v>HOUSING</v>
      </c>
      <c r="F3" s="4" t="n">
        <v>1800</v>
      </c>
      <c r="G3" s="1" t="str">
        <v>USD</v>
      </c>
    </row>
    <row r="4" ht="23" customHeight="1">
      <c r="A4" s="1" t="str">
        <v>T0003</v>
      </c>
      <c r="B4" s="1" t="str">
        <v>U001</v>
      </c>
      <c r="C4" s="5" t="n">
        <v>46298</v>
      </c>
      <c r="D4" s="1" t="str">
        <v>EXPENSE</v>
      </c>
      <c r="E4" s="1" t="str">
        <v>GROCERIES</v>
      </c>
      <c r="F4" s="4" t="n">
        <v>600</v>
      </c>
      <c r="G4" s="1" t="str">
        <v>USD</v>
      </c>
    </row>
    <row r="5" ht="23" customHeight="1">
      <c r="A5" s="1" t="str">
        <v>T0004</v>
      </c>
      <c r="B5" s="1" t="str">
        <v>U001</v>
      </c>
      <c r="C5" s="5" t="n">
        <v>46299</v>
      </c>
      <c r="D5" s="1" t="str">
        <v>EXPENSE</v>
      </c>
      <c r="E5" s="1" t="str">
        <v>UTILITIES</v>
      </c>
      <c r="F5" s="4" t="n">
        <v>300</v>
      </c>
      <c r="G5" s="1" t="str">
        <v>USD</v>
      </c>
    </row>
    <row r="6" ht="23" customHeight="1">
      <c r="A6" s="1" t="str">
        <v>T0005</v>
      </c>
      <c r="B6" s="1" t="str">
        <v>U002</v>
      </c>
      <c r="C6" s="5" t="n">
        <v>46296</v>
      </c>
      <c r="D6" s="1" t="str">
        <v>INCOME</v>
      </c>
      <c r="E6" s="1" t="str">
        <v>SALARY</v>
      </c>
      <c r="F6" s="4" t="n">
        <v>5020</v>
      </c>
      <c r="G6" s="1" t="str">
        <v>USD</v>
      </c>
    </row>
    <row r="7" ht="23" customHeight="1">
      <c r="A7" s="1" t="str">
        <v>T0006</v>
      </c>
      <c r="B7" s="1" t="str">
        <v>U002</v>
      </c>
      <c r="C7" s="5" t="n">
        <v>46297</v>
      </c>
      <c r="D7" s="1" t="str">
        <v>EXPENSE</v>
      </c>
      <c r="E7" s="1" t="str">
        <v>HOUSING</v>
      </c>
      <c r="F7" s="4" t="n">
        <v>1800</v>
      </c>
      <c r="G7" s="1" t="str">
        <v>USD</v>
      </c>
    </row>
    <row r="8" ht="23" customHeight="1">
      <c r="A8" s="1" t="str">
        <v>T0007</v>
      </c>
      <c r="B8" s="1" t="str">
        <v>U002</v>
      </c>
      <c r="C8" s="5" t="n">
        <v>46298</v>
      </c>
      <c r="D8" s="1" t="str">
        <v>EXPENSE</v>
      </c>
      <c r="E8" s="1" t="str">
        <v>GROCERIES</v>
      </c>
      <c r="F8" s="4" t="n">
        <v>600</v>
      </c>
      <c r="G8" s="1" t="str">
        <v>USD</v>
      </c>
    </row>
    <row r="9" ht="23" customHeight="1">
      <c r="A9" s="1" t="str">
        <v>T0008</v>
      </c>
      <c r="B9" s="1" t="str">
        <v>U002</v>
      </c>
      <c r="C9" s="5" t="n">
        <v>46299</v>
      </c>
      <c r="D9" s="1" t="str">
        <v>EXPENSE</v>
      </c>
      <c r="E9" s="1" t="str">
        <v>UTILITIES</v>
      </c>
      <c r="F9" s="4" t="n">
        <v>300</v>
      </c>
      <c r="G9" s="1" t="str">
        <v>USD</v>
      </c>
    </row>
    <row r="10" ht="23" customHeight="1">
      <c r="A10" s="1" t="str">
        <v>T0009</v>
      </c>
      <c r="B10" s="1" t="str">
        <v>U003</v>
      </c>
      <c r="C10" s="5" t="n">
        <v>46296</v>
      </c>
      <c r="D10" s="1" t="str">
        <v>INCOME</v>
      </c>
      <c r="E10" s="1" t="str">
        <v>SALARY</v>
      </c>
      <c r="F10" s="4" t="n">
        <v>5030</v>
      </c>
      <c r="G10" s="1" t="str">
        <v>USD</v>
      </c>
    </row>
    <row r="11" ht="23" customHeight="1">
      <c r="A11" s="1" t="str">
        <v>T0010</v>
      </c>
      <c r="B11" s="1" t="str">
        <v>U003</v>
      </c>
      <c r="C11" s="5" t="n">
        <v>46297</v>
      </c>
      <c r="D11" s="1" t="str">
        <v>EXPENSE</v>
      </c>
      <c r="E11" s="1" t="str">
        <v>HOUSING</v>
      </c>
      <c r="F11" s="4" t="n">
        <v>1800</v>
      </c>
      <c r="G11" s="1" t="str">
        <v>USD</v>
      </c>
    </row>
    <row r="12" ht="23" customHeight="1">
      <c r="A12" s="1" t="str">
        <v>T0011</v>
      </c>
      <c r="B12" s="1" t="str">
        <v>U003</v>
      </c>
      <c r="C12" s="5" t="n">
        <v>46298</v>
      </c>
      <c r="D12" s="1" t="str">
        <v>EXPENSE</v>
      </c>
      <c r="E12" s="1" t="str">
        <v>GROCERIES</v>
      </c>
      <c r="F12" s="4" t="n">
        <v>600</v>
      </c>
      <c r="G12" s="1" t="str">
        <v>USD</v>
      </c>
    </row>
    <row r="13" ht="23" customHeight="1">
      <c r="A13" s="1" t="str">
        <v>T0012</v>
      </c>
      <c r="B13" s="1" t="str">
        <v>U003</v>
      </c>
      <c r="C13" s="5" t="n">
        <v>46299</v>
      </c>
      <c r="D13" s="1" t="str">
        <v>EXPENSE</v>
      </c>
      <c r="E13" s="1" t="str">
        <v>UTILITIES</v>
      </c>
      <c r="F13" s="4" t="n">
        <v>300</v>
      </c>
      <c r="G13" s="1" t="str">
        <v>USD</v>
      </c>
    </row>
    <row r="14" ht="23" customHeight="1">
      <c r="A14" s="1" t="str">
        <v>T0013</v>
      </c>
      <c r="B14" s="1" t="str">
        <v>U004</v>
      </c>
      <c r="C14" s="5" t="n">
        <v>46296</v>
      </c>
      <c r="D14" s="1" t="str">
        <v>INCOME</v>
      </c>
      <c r="E14" s="1" t="str">
        <v>SALARY</v>
      </c>
      <c r="F14" s="4" t="n">
        <v>5040</v>
      </c>
      <c r="G14" s="1" t="str">
        <v>USD</v>
      </c>
    </row>
    <row r="15" ht="23" customHeight="1">
      <c r="A15" s="1" t="str">
        <v>T0014</v>
      </c>
      <c r="B15" s="1" t="str">
        <v>U004</v>
      </c>
      <c r="C15" s="5" t="n">
        <v>46297</v>
      </c>
      <c r="D15" s="1" t="str">
        <v>EXPENSE</v>
      </c>
      <c r="E15" s="1" t="str">
        <v>HOUSING</v>
      </c>
      <c r="F15" s="4" t="n">
        <v>1800</v>
      </c>
      <c r="G15" s="1" t="str">
        <v>USD</v>
      </c>
    </row>
    <row r="16" ht="23" customHeight="1">
      <c r="A16" s="1" t="str">
        <v>T0015</v>
      </c>
      <c r="B16" s="1" t="str">
        <v>U004</v>
      </c>
      <c r="C16" s="5" t="n">
        <v>46298</v>
      </c>
      <c r="D16" s="1" t="str">
        <v>EXPENSE</v>
      </c>
      <c r="E16" s="1" t="str">
        <v>GROCERIES</v>
      </c>
      <c r="F16" s="4" t="n">
        <v>600</v>
      </c>
      <c r="G16" s="1" t="str">
        <v>USD</v>
      </c>
    </row>
    <row r="17" ht="23" customHeight="1">
      <c r="A17" s="1" t="str">
        <v>T0016</v>
      </c>
      <c r="B17" s="1" t="str">
        <v>U004</v>
      </c>
      <c r="C17" s="5" t="n">
        <v>46299</v>
      </c>
      <c r="D17" s="1" t="str">
        <v>EXPENSE</v>
      </c>
      <c r="E17" s="1" t="str">
        <v>UTILITIES</v>
      </c>
      <c r="F17" s="4" t="n">
        <v>300</v>
      </c>
      <c r="G17" s="1" t="str">
        <v>USD</v>
      </c>
    </row>
    <row r="18" ht="23" customHeight="1">
      <c r="A18" s="1" t="str">
        <v>T0017</v>
      </c>
      <c r="B18" s="1" t="str">
        <v>U005</v>
      </c>
      <c r="C18" s="5" t="n">
        <v>46296</v>
      </c>
      <c r="D18" s="1" t="str">
        <v>INCOME</v>
      </c>
      <c r="E18" s="1" t="str">
        <v>SALARY</v>
      </c>
      <c r="F18" s="4" t="n">
        <v>5050</v>
      </c>
      <c r="G18" s="1" t="str">
        <v>USD</v>
      </c>
    </row>
    <row r="19" ht="23" customHeight="1">
      <c r="A19" s="1" t="str">
        <v>T0018</v>
      </c>
      <c r="B19" s="1" t="str">
        <v>U005</v>
      </c>
      <c r="C19" s="5" t="n">
        <v>46297</v>
      </c>
      <c r="D19" s="1" t="str">
        <v>EXPENSE</v>
      </c>
      <c r="E19" s="1" t="str">
        <v>HOUSING</v>
      </c>
      <c r="F19" s="4" t="n">
        <v>1800</v>
      </c>
      <c r="G19" s="1" t="str">
        <v>USD</v>
      </c>
    </row>
    <row r="20" ht="23" customHeight="1">
      <c r="A20" s="1" t="str">
        <v>T0019</v>
      </c>
      <c r="B20" s="1" t="str">
        <v>U005</v>
      </c>
      <c r="C20" s="5" t="n">
        <v>46298</v>
      </c>
      <c r="D20" s="1" t="str">
        <v>EXPENSE</v>
      </c>
      <c r="E20" s="1" t="str">
        <v>GROCERIES</v>
      </c>
      <c r="F20" s="4" t="n">
        <v>600</v>
      </c>
      <c r="G20" s="1" t="str">
        <v>USD</v>
      </c>
    </row>
    <row r="21" ht="23" customHeight="1">
      <c r="A21" s="1" t="str">
        <v>T0020</v>
      </c>
      <c r="B21" s="1" t="str">
        <v>U005</v>
      </c>
      <c r="C21" s="5" t="n">
        <v>46299</v>
      </c>
      <c r="D21" s="1" t="str">
        <v>EXPENSE</v>
      </c>
      <c r="E21" s="1" t="str">
        <v>UTILITIES</v>
      </c>
      <c r="F21" s="4" t="n">
        <v>300</v>
      </c>
      <c r="G21" s="1" t="str">
        <v>USD</v>
      </c>
    </row>
    <row r="22" ht="23" customHeight="1">
      <c r="A22" s="1" t="str">
        <v>T0021</v>
      </c>
      <c r="B22" s="1" t="str">
        <v>U006</v>
      </c>
      <c r="C22" s="5" t="n">
        <v>46296</v>
      </c>
      <c r="D22" s="1" t="str">
        <v>INCOME</v>
      </c>
      <c r="E22" s="1" t="str">
        <v>SALARY</v>
      </c>
      <c r="F22" s="4" t="n">
        <v>5060</v>
      </c>
      <c r="G22" s="1" t="str">
        <v>USD</v>
      </c>
    </row>
    <row r="23" ht="23" customHeight="1">
      <c r="A23" s="1" t="str">
        <v>T0022</v>
      </c>
      <c r="B23" s="1" t="str">
        <v>U006</v>
      </c>
      <c r="C23" s="5" t="n">
        <v>46297</v>
      </c>
      <c r="D23" s="1" t="str">
        <v>EXPENSE</v>
      </c>
      <c r="E23" s="1" t="str">
        <v>HOUSING</v>
      </c>
      <c r="F23" s="4" t="n">
        <v>1800</v>
      </c>
      <c r="G23" s="1" t="str">
        <v>USD</v>
      </c>
    </row>
    <row r="24" ht="23" customHeight="1">
      <c r="A24" s="1" t="str">
        <v>T0023</v>
      </c>
      <c r="B24" s="1" t="str">
        <v>U006</v>
      </c>
      <c r="C24" s="5" t="n">
        <v>46298</v>
      </c>
      <c r="D24" s="1" t="str">
        <v>EXPENSE</v>
      </c>
      <c r="E24" s="1" t="str">
        <v>GROCERIES</v>
      </c>
      <c r="F24" s="4" t="n">
        <v>600</v>
      </c>
      <c r="G24" s="1" t="str">
        <v>USD</v>
      </c>
    </row>
    <row r="25" ht="23" customHeight="1">
      <c r="A25" s="1" t="str">
        <v>T0024</v>
      </c>
      <c r="B25" s="1" t="str">
        <v>U006</v>
      </c>
      <c r="C25" s="5" t="n">
        <v>46299</v>
      </c>
      <c r="D25" s="1" t="str">
        <v>EXPENSE</v>
      </c>
      <c r="E25" s="1" t="str">
        <v>UTILITIES</v>
      </c>
      <c r="F25" s="4" t="n">
        <v>300</v>
      </c>
      <c r="G25" s="1" t="str">
        <v>USD</v>
      </c>
    </row>
    <row r="26" ht="23" customHeight="1">
      <c r="A26" s="1" t="str">
        <v>T0025</v>
      </c>
      <c r="B26" s="1" t="str">
        <v>U007</v>
      </c>
      <c r="C26" s="5" t="n">
        <v>46296</v>
      </c>
      <c r="D26" s="1" t="str">
        <v>INCOME</v>
      </c>
      <c r="E26" s="1" t="str">
        <v>SALARY</v>
      </c>
      <c r="F26" s="4" t="n">
        <v>5070</v>
      </c>
      <c r="G26" s="1" t="str">
        <v>USD</v>
      </c>
    </row>
    <row r="27" ht="23" customHeight="1">
      <c r="A27" s="1" t="str">
        <v>T0026</v>
      </c>
      <c r="B27" s="1" t="str">
        <v>U007</v>
      </c>
      <c r="C27" s="5" t="n">
        <v>46297</v>
      </c>
      <c r="D27" s="1" t="str">
        <v>EXPENSE</v>
      </c>
      <c r="E27" s="1" t="str">
        <v>HOUSING</v>
      </c>
      <c r="F27" s="4" t="n">
        <v>1800</v>
      </c>
      <c r="G27" s="1" t="str">
        <v>USD</v>
      </c>
    </row>
    <row r="28" ht="23" customHeight="1">
      <c r="A28" s="1" t="str">
        <v>T0027</v>
      </c>
      <c r="B28" s="1" t="str">
        <v>U007</v>
      </c>
      <c r="C28" s="5" t="n">
        <v>46298</v>
      </c>
      <c r="D28" s="1" t="str">
        <v>EXPENSE</v>
      </c>
      <c r="E28" s="1" t="str">
        <v>GROCERIES</v>
      </c>
      <c r="F28" s="4" t="n">
        <v>600</v>
      </c>
      <c r="G28" s="1" t="str">
        <v>USD</v>
      </c>
    </row>
    <row r="29" ht="23" customHeight="1">
      <c r="A29" s="1" t="str">
        <v>T0028</v>
      </c>
      <c r="B29" s="1" t="str">
        <v>U007</v>
      </c>
      <c r="C29" s="5" t="n">
        <v>46299</v>
      </c>
      <c r="D29" s="1" t="str">
        <v>EXPENSE</v>
      </c>
      <c r="E29" s="1" t="str">
        <v>UTILITIES</v>
      </c>
      <c r="F29" s="4" t="n">
        <v>300</v>
      </c>
      <c r="G29" s="1" t="str">
        <v>USD</v>
      </c>
    </row>
    <row r="30" ht="23" customHeight="1">
      <c r="A30" s="1" t="str">
        <v>T0029</v>
      </c>
      <c r="B30" s="1" t="str">
        <v>U008</v>
      </c>
      <c r="C30" s="5" t="n">
        <v>46296</v>
      </c>
      <c r="D30" s="1" t="str">
        <v>INCOME</v>
      </c>
      <c r="E30" s="1" t="str">
        <v>SALARY</v>
      </c>
      <c r="F30" s="4" t="n">
        <v>5080</v>
      </c>
      <c r="G30" s="1" t="str">
        <v>USD</v>
      </c>
    </row>
    <row r="31" ht="23" customHeight="1">
      <c r="A31" s="1" t="str">
        <v>T0030</v>
      </c>
      <c r="B31" s="1" t="str">
        <v>U008</v>
      </c>
      <c r="C31" s="5" t="n">
        <v>46297</v>
      </c>
      <c r="D31" s="1" t="str">
        <v>EXPENSE</v>
      </c>
      <c r="E31" s="1" t="str">
        <v>HOUSING</v>
      </c>
      <c r="F31" s="4" t="n">
        <v>1800</v>
      </c>
      <c r="G31" s="1" t="str">
        <v>USD</v>
      </c>
    </row>
    <row r="32" ht="23" customHeight="1">
      <c r="A32" s="1" t="str">
        <v>T0031</v>
      </c>
      <c r="B32" s="1" t="str">
        <v>U008</v>
      </c>
      <c r="C32" s="5" t="n">
        <v>46298</v>
      </c>
      <c r="D32" s="1" t="str">
        <v>EXPENSE</v>
      </c>
      <c r="E32" s="1" t="str">
        <v>GROCERIES</v>
      </c>
      <c r="F32" s="4" t="n">
        <v>600</v>
      </c>
      <c r="G32" s="1" t="str">
        <v>USD</v>
      </c>
    </row>
    <row r="33" ht="23" customHeight="1">
      <c r="A33" s="1" t="str">
        <v>T0032</v>
      </c>
      <c r="B33" s="1" t="str">
        <v>U008</v>
      </c>
      <c r="C33" s="5" t="n">
        <v>46299</v>
      </c>
      <c r="D33" s="1" t="str">
        <v>EXPENSE</v>
      </c>
      <c r="E33" s="1" t="str">
        <v>UTILITIES</v>
      </c>
      <c r="F33" s="4" t="n">
        <v>300</v>
      </c>
      <c r="G33" s="1" t="str">
        <v>USD</v>
      </c>
    </row>
    <row r="34" ht="23" customHeight="1">
      <c r="A34" s="1" t="str">
        <v>T0033</v>
      </c>
      <c r="B34" s="1" t="str">
        <v>U009</v>
      </c>
      <c r="C34" s="5" t="n">
        <v>46296</v>
      </c>
      <c r="D34" s="1" t="str">
        <v>INCOME</v>
      </c>
      <c r="E34" s="1" t="str">
        <v>SALARY</v>
      </c>
      <c r="F34" s="4" t="n">
        <v>5090</v>
      </c>
      <c r="G34" s="1" t="str">
        <v>USD</v>
      </c>
    </row>
    <row r="35" ht="23" customHeight="1">
      <c r="A35" s="1" t="str">
        <v>T0034</v>
      </c>
      <c r="B35" s="1" t="str">
        <v>U009</v>
      </c>
      <c r="C35" s="5" t="n">
        <v>46297</v>
      </c>
      <c r="D35" s="1" t="str">
        <v>EXPENSE</v>
      </c>
      <c r="E35" s="1" t="str">
        <v>HOUSING</v>
      </c>
      <c r="F35" s="4" t="n">
        <v>1800</v>
      </c>
      <c r="G35" s="1" t="str">
        <v>USD</v>
      </c>
    </row>
    <row r="36" ht="23" customHeight="1">
      <c r="A36" s="1" t="str">
        <v>T0035</v>
      </c>
      <c r="B36" s="1" t="str">
        <v>U009</v>
      </c>
      <c r="C36" s="5" t="n">
        <v>46298</v>
      </c>
      <c r="D36" s="1" t="str">
        <v>EXPENSE</v>
      </c>
      <c r="E36" s="1" t="str">
        <v>GROCERIES</v>
      </c>
      <c r="F36" s="4" t="n">
        <v>600</v>
      </c>
      <c r="G36" s="1" t="str">
        <v>USD</v>
      </c>
    </row>
    <row r="37" ht="23" customHeight="1">
      <c r="A37" s="1" t="str">
        <v>T0036</v>
      </c>
      <c r="B37" s="1" t="str">
        <v>U009</v>
      </c>
      <c r="C37" s="5" t="n">
        <v>46299</v>
      </c>
      <c r="D37" s="1" t="str">
        <v>EXPENSE</v>
      </c>
      <c r="E37" s="1" t="str">
        <v>UTILITIES</v>
      </c>
      <c r="F37" s="4" t="n">
        <v>300</v>
      </c>
      <c r="G37" s="1" t="str">
        <v>USD</v>
      </c>
    </row>
    <row r="38" ht="23" customHeight="1">
      <c r="A38" s="1" t="str">
        <v>T0037</v>
      </c>
      <c r="B38" s="1" t="str">
        <v>U010</v>
      </c>
      <c r="C38" s="5" t="n">
        <v>46296</v>
      </c>
      <c r="D38" s="1" t="str">
        <v>INCOME</v>
      </c>
      <c r="E38" s="1" t="str">
        <v>SALARY</v>
      </c>
      <c r="F38" s="4" t="n">
        <v>5100</v>
      </c>
      <c r="G38" s="1" t="str">
        <v>USD</v>
      </c>
    </row>
    <row r="39" ht="23" customHeight="1">
      <c r="A39" s="1" t="str">
        <v>T0038</v>
      </c>
      <c r="B39" s="1" t="str">
        <v>U010</v>
      </c>
      <c r="C39" s="5" t="n">
        <v>46297</v>
      </c>
      <c r="D39" s="1" t="str">
        <v>EXPENSE</v>
      </c>
      <c r="E39" s="1" t="str">
        <v>HOUSING</v>
      </c>
      <c r="F39" s="4" t="n">
        <v>1800</v>
      </c>
      <c r="G39" s="1" t="str">
        <v>USD</v>
      </c>
    </row>
    <row r="40" ht="23" customHeight="1">
      <c r="A40" s="1" t="str">
        <v>T0039</v>
      </c>
      <c r="B40" s="1" t="str">
        <v>U010</v>
      </c>
      <c r="C40" s="5" t="n">
        <v>46298</v>
      </c>
      <c r="D40" s="1" t="str">
        <v>EXPENSE</v>
      </c>
      <c r="E40" s="1" t="str">
        <v>GROCERIES</v>
      </c>
      <c r="F40" s="4" t="n">
        <v>600</v>
      </c>
      <c r="G40" s="1" t="str">
        <v>USD</v>
      </c>
    </row>
    <row r="41" ht="23" customHeight="1">
      <c r="A41" s="1" t="str">
        <v>T0040</v>
      </c>
      <c r="B41" s="1" t="str">
        <v>U010</v>
      </c>
      <c r="C41" s="5" t="n">
        <v>46299</v>
      </c>
      <c r="D41" s="1" t="str">
        <v>EXPENSE</v>
      </c>
      <c r="E41" s="1" t="str">
        <v>UTILITIES</v>
      </c>
      <c r="F41" s="4" t="n">
        <v>300</v>
      </c>
      <c r="G41" s="1" t="str">
        <v>USD</v>
      </c>
    </row>
    <row r="42" ht="23" customHeight="1">
      <c r="A42" s="1" t="str">
        <v>T0041</v>
      </c>
      <c r="B42" s="1" t="str">
        <v>U011</v>
      </c>
      <c r="C42" s="5" t="n">
        <v>46296</v>
      </c>
      <c r="D42" s="1" t="str">
        <v>INCOME</v>
      </c>
      <c r="E42" s="1" t="str">
        <v>SALARY</v>
      </c>
      <c r="F42" s="4" t="n">
        <v>5110</v>
      </c>
      <c r="G42" s="1" t="str">
        <v>USD</v>
      </c>
    </row>
    <row r="43" ht="23" customHeight="1">
      <c r="A43" s="1" t="str">
        <v>T0042</v>
      </c>
      <c r="B43" s="1" t="str">
        <v>U011</v>
      </c>
      <c r="C43" s="5" t="n">
        <v>46297</v>
      </c>
      <c r="D43" s="1" t="str">
        <v>EXPENSE</v>
      </c>
      <c r="E43" s="1" t="str">
        <v>HOUSING</v>
      </c>
      <c r="F43" s="4" t="n">
        <v>1800</v>
      </c>
      <c r="G43" s="1" t="str">
        <v>USD</v>
      </c>
    </row>
    <row r="44" ht="23" customHeight="1">
      <c r="A44" s="1" t="str">
        <v>T0043</v>
      </c>
      <c r="B44" s="1" t="str">
        <v>U011</v>
      </c>
      <c r="C44" s="5" t="n">
        <v>46298</v>
      </c>
      <c r="D44" s="1" t="str">
        <v>EXPENSE</v>
      </c>
      <c r="E44" s="1" t="str">
        <v>GROCERIES</v>
      </c>
      <c r="F44" s="4" t="n">
        <v>600</v>
      </c>
      <c r="G44" s="1" t="str">
        <v>USD</v>
      </c>
    </row>
    <row r="45" ht="23" customHeight="1">
      <c r="A45" s="1" t="str">
        <v>T0044</v>
      </c>
      <c r="B45" s="1" t="str">
        <v>U011</v>
      </c>
      <c r="C45" s="5" t="n">
        <v>46299</v>
      </c>
      <c r="D45" s="1" t="str">
        <v>EXPENSE</v>
      </c>
      <c r="E45" s="1" t="str">
        <v>UTILITIES</v>
      </c>
      <c r="F45" s="4" t="n">
        <v>300</v>
      </c>
      <c r="G45" s="1" t="str">
        <v>USD</v>
      </c>
    </row>
    <row r="46" ht="23" customHeight="1">
      <c r="A46" s="1" t="str">
        <v>T0045</v>
      </c>
      <c r="B46" s="1" t="str">
        <v>U012</v>
      </c>
      <c r="C46" s="5" t="n">
        <v>46296</v>
      </c>
      <c r="D46" s="1" t="str">
        <v>INCOME</v>
      </c>
      <c r="E46" s="1" t="str">
        <v>SALARY</v>
      </c>
      <c r="F46" s="4" t="n">
        <v>5120</v>
      </c>
      <c r="G46" s="1" t="str">
        <v>USD</v>
      </c>
    </row>
    <row r="47" ht="23" customHeight="1">
      <c r="A47" s="1" t="str">
        <v>T0046</v>
      </c>
      <c r="B47" s="1" t="str">
        <v>U012</v>
      </c>
      <c r="C47" s="5" t="n">
        <v>46297</v>
      </c>
      <c r="D47" s="1" t="str">
        <v>EXPENSE</v>
      </c>
      <c r="E47" s="1" t="str">
        <v>HOUSING</v>
      </c>
      <c r="F47" s="4" t="n">
        <v>1800</v>
      </c>
      <c r="G47" s="1" t="str">
        <v>USD</v>
      </c>
    </row>
    <row r="48" ht="23" customHeight="1">
      <c r="A48" s="1" t="str">
        <v>T0047</v>
      </c>
      <c r="B48" s="1" t="str">
        <v>U012</v>
      </c>
      <c r="C48" s="5" t="n">
        <v>46298</v>
      </c>
      <c r="D48" s="1" t="str">
        <v>EXPENSE</v>
      </c>
      <c r="E48" s="1" t="str">
        <v>GROCERIES</v>
      </c>
      <c r="F48" s="4" t="n">
        <v>600</v>
      </c>
      <c r="G48" s="1" t="str">
        <v>USD</v>
      </c>
    </row>
    <row r="49" ht="23" customHeight="1">
      <c r="A49" s="1" t="str">
        <v>T0048</v>
      </c>
      <c r="B49" s="1" t="str">
        <v>U012</v>
      </c>
      <c r="C49" s="5" t="n">
        <v>46299</v>
      </c>
      <c r="D49" s="1" t="str">
        <v>EXPENSE</v>
      </c>
      <c r="E49" s="1" t="str">
        <v>UTILITIES</v>
      </c>
      <c r="F49" s="4" t="n">
        <v>300</v>
      </c>
      <c r="G49" s="1" t="str">
        <v>USD</v>
      </c>
    </row>
    <row r="50" ht="23" customHeight="1">
      <c r="A50" s="1" t="str">
        <v>T0049</v>
      </c>
      <c r="B50" s="1" t="str">
        <v>U013</v>
      </c>
      <c r="C50" s="5" t="n">
        <v>46296</v>
      </c>
      <c r="D50" s="1" t="str">
        <v>INCOME</v>
      </c>
      <c r="E50" s="1" t="str">
        <v>SALARY</v>
      </c>
      <c r="F50" s="4" t="n">
        <v>5130</v>
      </c>
      <c r="G50" s="1" t="str">
        <v>USD</v>
      </c>
    </row>
    <row r="51" ht="23" customHeight="1">
      <c r="A51" s="1" t="str">
        <v>T0050</v>
      </c>
      <c r="B51" s="1" t="str">
        <v>U013</v>
      </c>
      <c r="C51" s="5" t="n">
        <v>46297</v>
      </c>
      <c r="D51" s="1" t="str">
        <v>EXPENSE</v>
      </c>
      <c r="E51" s="1" t="str">
        <v>HOUSING</v>
      </c>
      <c r="F51" s="4" t="n">
        <v>1800</v>
      </c>
      <c r="G51" s="1" t="str">
        <v>USD</v>
      </c>
    </row>
    <row r="52" ht="23" customHeight="1">
      <c r="A52" s="1" t="str">
        <v>T0051</v>
      </c>
      <c r="B52" s="1" t="str">
        <v>U013</v>
      </c>
      <c r="C52" s="5" t="n">
        <v>46298</v>
      </c>
      <c r="D52" s="1" t="str">
        <v>EXPENSE</v>
      </c>
      <c r="E52" s="1" t="str">
        <v>GROCERIES</v>
      </c>
      <c r="F52" s="4" t="n">
        <v>600</v>
      </c>
      <c r="G52" s="1" t="str">
        <v>USD</v>
      </c>
    </row>
    <row r="53" ht="23" customHeight="1">
      <c r="A53" s="1" t="str">
        <v>T0052</v>
      </c>
      <c r="B53" s="1" t="str">
        <v>U013</v>
      </c>
      <c r="C53" s="5" t="n">
        <v>46299</v>
      </c>
      <c r="D53" s="1" t="str">
        <v>EXPENSE</v>
      </c>
      <c r="E53" s="1" t="str">
        <v>UTILITIES</v>
      </c>
      <c r="F53" s="4" t="n">
        <v>300</v>
      </c>
      <c r="G53" s="1" t="str">
        <v>USD</v>
      </c>
    </row>
    <row r="54" ht="23" customHeight="1">
      <c r="A54" s="1" t="str">
        <v>T0053</v>
      </c>
      <c r="B54" s="1" t="str">
        <v>U014</v>
      </c>
      <c r="C54" s="5" t="n">
        <v>46296</v>
      </c>
      <c r="D54" s="1" t="str">
        <v>INCOME</v>
      </c>
      <c r="E54" s="1" t="str">
        <v>SALARY</v>
      </c>
      <c r="F54" s="4" t="n">
        <v>5140</v>
      </c>
      <c r="G54" s="1" t="str">
        <v>USD</v>
      </c>
    </row>
    <row r="55" ht="23" customHeight="1">
      <c r="A55" s="1" t="str">
        <v>T0054</v>
      </c>
      <c r="B55" s="1" t="str">
        <v>U014</v>
      </c>
      <c r="C55" s="5" t="n">
        <v>46297</v>
      </c>
      <c r="D55" s="1" t="str">
        <v>EXPENSE</v>
      </c>
      <c r="E55" s="1" t="str">
        <v>HOUSING</v>
      </c>
      <c r="F55" s="4" t="n">
        <v>1800</v>
      </c>
      <c r="G55" s="1" t="str">
        <v>USD</v>
      </c>
    </row>
    <row r="56" ht="23" customHeight="1">
      <c r="A56" s="1" t="str">
        <v>T0055</v>
      </c>
      <c r="B56" s="1" t="str">
        <v>U014</v>
      </c>
      <c r="C56" s="5" t="n">
        <v>46298</v>
      </c>
      <c r="D56" s="1" t="str">
        <v>EXPENSE</v>
      </c>
      <c r="E56" s="1" t="str">
        <v>GROCERIES</v>
      </c>
      <c r="F56" s="4" t="n">
        <v>600</v>
      </c>
      <c r="G56" s="1" t="str">
        <v>USD</v>
      </c>
    </row>
    <row r="57" ht="23" customHeight="1">
      <c r="A57" s="1" t="str">
        <v>T0056</v>
      </c>
      <c r="B57" s="1" t="str">
        <v>U014</v>
      </c>
      <c r="C57" s="5" t="n">
        <v>46299</v>
      </c>
      <c r="D57" s="1" t="str">
        <v>EXPENSE</v>
      </c>
      <c r="E57" s="1" t="str">
        <v>UTILITIES</v>
      </c>
      <c r="F57" s="4" t="n">
        <v>300</v>
      </c>
      <c r="G57" s="1" t="str">
        <v>USD</v>
      </c>
    </row>
    <row r="58" ht="23" customHeight="1">
      <c r="A58" s="1" t="str">
        <v>T0057</v>
      </c>
      <c r="B58" s="1" t="str">
        <v>U015</v>
      </c>
      <c r="C58" s="5" t="n">
        <v>46296</v>
      </c>
      <c r="D58" s="1" t="str">
        <v>INCOME</v>
      </c>
      <c r="E58" s="1" t="str">
        <v>SALARY</v>
      </c>
      <c r="F58" s="4" t="n">
        <v>5150</v>
      </c>
      <c r="G58" s="1" t="str">
        <v>USD</v>
      </c>
    </row>
    <row r="59" ht="23" customHeight="1">
      <c r="A59" s="1" t="str">
        <v>T0058</v>
      </c>
      <c r="B59" s="1" t="str">
        <v>U015</v>
      </c>
      <c r="C59" s="5" t="n">
        <v>46297</v>
      </c>
      <c r="D59" s="1" t="str">
        <v>EXPENSE</v>
      </c>
      <c r="E59" s="1" t="str">
        <v>HOUSING</v>
      </c>
      <c r="F59" s="4" t="n">
        <v>1800</v>
      </c>
      <c r="G59" s="1" t="str">
        <v>USD</v>
      </c>
    </row>
    <row r="60" ht="23" customHeight="1">
      <c r="A60" s="1" t="str">
        <v>T0059</v>
      </c>
      <c r="B60" s="1" t="str">
        <v>U015</v>
      </c>
      <c r="C60" s="5" t="n">
        <v>46298</v>
      </c>
      <c r="D60" s="1" t="str">
        <v>EXPENSE</v>
      </c>
      <c r="E60" s="1" t="str">
        <v>GROCERIES</v>
      </c>
      <c r="F60" s="4" t="n">
        <v>600</v>
      </c>
      <c r="G60" s="1" t="str">
        <v>USD</v>
      </c>
    </row>
    <row r="61" ht="23" customHeight="1">
      <c r="A61" s="1" t="str">
        <v>T0060</v>
      </c>
      <c r="B61" s="1" t="str">
        <v>U015</v>
      </c>
      <c r="C61" s="5" t="n">
        <v>46299</v>
      </c>
      <c r="D61" s="1" t="str">
        <v>EXPENSE</v>
      </c>
      <c r="E61" s="1" t="str">
        <v>UTILITIES</v>
      </c>
      <c r="F61" s="4" t="n">
        <v>300</v>
      </c>
      <c r="G61" s="1" t="str">
        <v>USD</v>
      </c>
    </row>
    <row r="62" ht="23" customHeight="1">
      <c r="A62" s="1" t="str">
        <v>T0061</v>
      </c>
      <c r="B62" s="1" t="str">
        <v>U016</v>
      </c>
      <c r="C62" s="5" t="n">
        <v>46296</v>
      </c>
      <c r="D62" s="1" t="str">
        <v>INCOME</v>
      </c>
      <c r="E62" s="1" t="str">
        <v>SALARY</v>
      </c>
      <c r="F62" s="4" t="n">
        <v>5160</v>
      </c>
      <c r="G62" s="1" t="str">
        <v>USD</v>
      </c>
    </row>
    <row r="63" ht="23" customHeight="1">
      <c r="A63" s="1" t="str">
        <v>T0062</v>
      </c>
      <c r="B63" s="1" t="str">
        <v>U016</v>
      </c>
      <c r="C63" s="5" t="n">
        <v>46297</v>
      </c>
      <c r="D63" s="1" t="str">
        <v>EXPENSE</v>
      </c>
      <c r="E63" s="1" t="str">
        <v>HOUSING</v>
      </c>
      <c r="F63" s="4" t="n">
        <v>1800</v>
      </c>
      <c r="G63" s="1" t="str">
        <v>USD</v>
      </c>
    </row>
    <row r="64" ht="23" customHeight="1">
      <c r="A64" s="1" t="str">
        <v>T0063</v>
      </c>
      <c r="B64" s="1" t="str">
        <v>U016</v>
      </c>
      <c r="C64" s="5" t="n">
        <v>46298</v>
      </c>
      <c r="D64" s="1" t="str">
        <v>EXPENSE</v>
      </c>
      <c r="E64" s="1" t="str">
        <v>GROCERIES</v>
      </c>
      <c r="F64" s="4" t="n">
        <v>600</v>
      </c>
      <c r="G64" s="1" t="str">
        <v>USD</v>
      </c>
    </row>
    <row r="65" ht="23" customHeight="1">
      <c r="A65" s="1" t="str">
        <v>T0064</v>
      </c>
      <c r="B65" s="1" t="str">
        <v>U016</v>
      </c>
      <c r="C65" s="5" t="n">
        <v>46299</v>
      </c>
      <c r="D65" s="1" t="str">
        <v>EXPENSE</v>
      </c>
      <c r="E65" s="1" t="str">
        <v>UTILITIES</v>
      </c>
      <c r="F65" s="4" t="n">
        <v>300</v>
      </c>
      <c r="G65" s="1" t="str">
        <v>USD</v>
      </c>
    </row>
    <row r="66" ht="23" customHeight="1">
      <c r="A66" s="1" t="str">
        <v>T0065</v>
      </c>
      <c r="B66" s="1" t="str">
        <v>U017</v>
      </c>
      <c r="C66" s="5" t="n">
        <v>46296</v>
      </c>
      <c r="D66" s="1" t="str">
        <v>INCOME</v>
      </c>
      <c r="E66" s="1" t="str">
        <v>SALARY</v>
      </c>
      <c r="F66" s="4" t="n">
        <v>5170</v>
      </c>
      <c r="G66" s="1" t="str">
        <v>USD</v>
      </c>
    </row>
    <row r="67" ht="23" customHeight="1">
      <c r="A67" s="1" t="str">
        <v>T0066</v>
      </c>
      <c r="B67" s="1" t="str">
        <v>U017</v>
      </c>
      <c r="C67" s="5" t="n">
        <v>46297</v>
      </c>
      <c r="D67" s="1" t="str">
        <v>EXPENSE</v>
      </c>
      <c r="E67" s="1" t="str">
        <v>HOUSING</v>
      </c>
      <c r="F67" s="4" t="n">
        <v>1800</v>
      </c>
      <c r="G67" s="1" t="str">
        <v>USD</v>
      </c>
    </row>
    <row r="68" ht="23" customHeight="1">
      <c r="A68" s="1" t="str">
        <v>T0067</v>
      </c>
      <c r="B68" s="1" t="str">
        <v>U017</v>
      </c>
      <c r="C68" s="5" t="n">
        <v>46298</v>
      </c>
      <c r="D68" s="1" t="str">
        <v>EXPENSE</v>
      </c>
      <c r="E68" s="1" t="str">
        <v>GROCERIES</v>
      </c>
      <c r="F68" s="4" t="n">
        <v>600</v>
      </c>
      <c r="G68" s="1" t="str">
        <v>USD</v>
      </c>
    </row>
    <row r="69" ht="23" customHeight="1">
      <c r="A69" s="1" t="str">
        <v>T0068</v>
      </c>
      <c r="B69" s="1" t="str">
        <v>U017</v>
      </c>
      <c r="C69" s="5" t="n">
        <v>46299</v>
      </c>
      <c r="D69" s="1" t="str">
        <v>EXPENSE</v>
      </c>
      <c r="E69" s="1" t="str">
        <v>UTILITIES</v>
      </c>
      <c r="F69" s="4" t="n">
        <v>300</v>
      </c>
      <c r="G69" s="1" t="str">
        <v>USD</v>
      </c>
    </row>
    <row r="70" ht="23" customHeight="1">
      <c r="A70" s="1" t="str">
        <v>T0069</v>
      </c>
      <c r="B70" s="1" t="str">
        <v>U018</v>
      </c>
      <c r="C70" s="5" t="n">
        <v>46296</v>
      </c>
      <c r="D70" s="1" t="str">
        <v>INCOME</v>
      </c>
      <c r="E70" s="1" t="str">
        <v>SALARY</v>
      </c>
      <c r="F70" s="4" t="n">
        <v>5180</v>
      </c>
      <c r="G70" s="1" t="str">
        <v>USD</v>
      </c>
    </row>
    <row r="71" ht="23" customHeight="1">
      <c r="A71" s="1" t="str">
        <v>T0070</v>
      </c>
      <c r="B71" s="1" t="str">
        <v>U018</v>
      </c>
      <c r="C71" s="5" t="n">
        <v>46297</v>
      </c>
      <c r="D71" s="1" t="str">
        <v>EXPENSE</v>
      </c>
      <c r="E71" s="1" t="str">
        <v>HOUSING</v>
      </c>
      <c r="F71" s="4" t="n">
        <v>1800</v>
      </c>
      <c r="G71" s="1" t="str">
        <v>USD</v>
      </c>
    </row>
    <row r="72" ht="23" customHeight="1">
      <c r="A72" s="1" t="str">
        <v>T0071</v>
      </c>
      <c r="B72" s="1" t="str">
        <v>U018</v>
      </c>
      <c r="C72" s="5" t="n">
        <v>46298</v>
      </c>
      <c r="D72" s="1" t="str">
        <v>EXPENSE</v>
      </c>
      <c r="E72" s="1" t="str">
        <v>GROCERIES</v>
      </c>
      <c r="F72" s="4" t="n">
        <v>600</v>
      </c>
      <c r="G72" s="1" t="str">
        <v>USD</v>
      </c>
    </row>
    <row r="73" ht="23" customHeight="1">
      <c r="A73" s="1" t="str">
        <v>T0072</v>
      </c>
      <c r="B73" s="1" t="str">
        <v>U018</v>
      </c>
      <c r="C73" s="5" t="n">
        <v>46299</v>
      </c>
      <c r="D73" s="1" t="str">
        <v>EXPENSE</v>
      </c>
      <c r="E73" s="1" t="str">
        <v>UTILITIES</v>
      </c>
      <c r="F73" s="4" t="n">
        <v>300</v>
      </c>
      <c r="G73" s="1" t="str">
        <v>USD</v>
      </c>
    </row>
    <row r="74" ht="23" customHeight="1">
      <c r="A74" s="1" t="str">
        <v>T0073</v>
      </c>
      <c r="B74" s="1" t="str">
        <v>U019</v>
      </c>
      <c r="C74" s="5" t="n">
        <v>46296</v>
      </c>
      <c r="D74" s="1" t="str">
        <v>INCOME</v>
      </c>
      <c r="E74" s="1" t="str">
        <v>SALARY</v>
      </c>
      <c r="F74" s="4" t="n">
        <v>5190</v>
      </c>
      <c r="G74" s="1" t="str">
        <v>USD</v>
      </c>
    </row>
    <row r="75" ht="23" customHeight="1">
      <c r="A75" s="1" t="str">
        <v>T0074</v>
      </c>
      <c r="B75" s="1" t="str">
        <v>U019</v>
      </c>
      <c r="C75" s="5" t="n">
        <v>46297</v>
      </c>
      <c r="D75" s="1" t="str">
        <v>EXPENSE</v>
      </c>
      <c r="E75" s="1" t="str">
        <v>HOUSING</v>
      </c>
      <c r="F75" s="4" t="n">
        <v>1800</v>
      </c>
      <c r="G75" s="1" t="str">
        <v>USD</v>
      </c>
    </row>
    <row r="76" ht="23" customHeight="1">
      <c r="A76" s="1" t="str">
        <v>T0075</v>
      </c>
      <c r="B76" s="1" t="str">
        <v>U019</v>
      </c>
      <c r="C76" s="5" t="n">
        <v>46298</v>
      </c>
      <c r="D76" s="1" t="str">
        <v>EXPENSE</v>
      </c>
      <c r="E76" s="1" t="str">
        <v>GROCERIES</v>
      </c>
      <c r="F76" s="4" t="n">
        <v>600</v>
      </c>
      <c r="G76" s="1" t="str">
        <v>USD</v>
      </c>
    </row>
    <row r="77" ht="23" customHeight="1">
      <c r="A77" s="1" t="str">
        <v>T0076</v>
      </c>
      <c r="B77" s="1" t="str">
        <v>U019</v>
      </c>
      <c r="C77" s="5" t="n">
        <v>46299</v>
      </c>
      <c r="D77" s="1" t="str">
        <v>EXPENSE</v>
      </c>
      <c r="E77" s="1" t="str">
        <v>UTILITIES</v>
      </c>
      <c r="F77" s="4" t="n">
        <v>300</v>
      </c>
      <c r="G77" s="1" t="str">
        <v>USD</v>
      </c>
    </row>
    <row r="78" ht="23" customHeight="1">
      <c r="A78" s="1" t="str">
        <v>T0077</v>
      </c>
      <c r="B78" s="1" t="str">
        <v>U020</v>
      </c>
      <c r="C78" s="5" t="n">
        <v>46296</v>
      </c>
      <c r="D78" s="1" t="str">
        <v>INCOME</v>
      </c>
      <c r="E78" s="1" t="str">
        <v>SALARY</v>
      </c>
      <c r="F78" s="4" t="n">
        <v>5200</v>
      </c>
      <c r="G78" s="1" t="str">
        <v>USD</v>
      </c>
    </row>
    <row r="79" ht="23" customHeight="1">
      <c r="A79" s="1" t="str">
        <v>T0078</v>
      </c>
      <c r="B79" s="1" t="str">
        <v>U020</v>
      </c>
      <c r="C79" s="5" t="n">
        <v>46297</v>
      </c>
      <c r="D79" s="1" t="str">
        <v>EXPENSE</v>
      </c>
      <c r="E79" s="1" t="str">
        <v>HOUSING</v>
      </c>
      <c r="F79" s="4" t="n">
        <v>1800</v>
      </c>
      <c r="G79" s="1" t="str">
        <v>USD</v>
      </c>
    </row>
    <row r="80" ht="23" customHeight="1">
      <c r="A80" s="1" t="str">
        <v>T0079</v>
      </c>
      <c r="B80" s="1" t="str">
        <v>U020</v>
      </c>
      <c r="C80" s="5" t="n">
        <v>46298</v>
      </c>
      <c r="D80" s="1" t="str">
        <v>EXPENSE</v>
      </c>
      <c r="E80" s="1" t="str">
        <v>GROCERIES</v>
      </c>
      <c r="F80" s="4" t="n">
        <v>600</v>
      </c>
      <c r="G80" s="1" t="str">
        <v>USD</v>
      </c>
    </row>
    <row r="81" ht="23" customHeight="1">
      <c r="A81" s="1" t="str">
        <v>T0080</v>
      </c>
      <c r="B81" s="1" t="str">
        <v>U020</v>
      </c>
      <c r="C81" s="5" t="n">
        <v>46299</v>
      </c>
      <c r="D81" s="1" t="str">
        <v>EXPENSE</v>
      </c>
      <c r="E81" s="1" t="str">
        <v>UTILITIES</v>
      </c>
      <c r="F81" s="4" t="n">
        <v>300</v>
      </c>
      <c r="G81" s="1" t="str">
        <v>USD</v>
      </c>
    </row>
    <row r="82" ht="23" customHeight="1">
      <c r="A82" s="1" t="str">
        <v>T0081</v>
      </c>
      <c r="B82" s="1" t="str">
        <v>U021</v>
      </c>
      <c r="C82" s="5" t="n">
        <v>46296</v>
      </c>
      <c r="D82" s="1" t="str">
        <v>INCOME</v>
      </c>
      <c r="E82" s="1" t="str">
        <v>SALARY</v>
      </c>
      <c r="F82" s="4" t="n">
        <v>5210</v>
      </c>
      <c r="G82" s="1" t="str">
        <v>USD</v>
      </c>
    </row>
    <row r="83" ht="23" customHeight="1">
      <c r="A83" s="1" t="str">
        <v>T0082</v>
      </c>
      <c r="B83" s="1" t="str">
        <v>U021</v>
      </c>
      <c r="C83" s="5" t="n">
        <v>46297</v>
      </c>
      <c r="D83" s="1" t="str">
        <v>EXPENSE</v>
      </c>
      <c r="E83" s="1" t="str">
        <v>HOUSING</v>
      </c>
      <c r="F83" s="4" t="n">
        <v>1800</v>
      </c>
      <c r="G83" s="1" t="str">
        <v>USD</v>
      </c>
    </row>
    <row r="84" ht="23" customHeight="1">
      <c r="A84" s="1" t="str">
        <v>T0083</v>
      </c>
      <c r="B84" s="1" t="str">
        <v>U021</v>
      </c>
      <c r="C84" s="5" t="n">
        <v>46298</v>
      </c>
      <c r="D84" s="1" t="str">
        <v>EXPENSE</v>
      </c>
      <c r="E84" s="1" t="str">
        <v>GROCERIES</v>
      </c>
      <c r="F84" s="4" t="n">
        <v>600</v>
      </c>
      <c r="G84" s="1" t="str">
        <v>USD</v>
      </c>
    </row>
    <row r="85" ht="23" customHeight="1">
      <c r="A85" s="1" t="str">
        <v>T0084</v>
      </c>
      <c r="B85" s="1" t="str">
        <v>U021</v>
      </c>
      <c r="C85" s="5" t="n">
        <v>46299</v>
      </c>
      <c r="D85" s="1" t="str">
        <v>EXPENSE</v>
      </c>
      <c r="E85" s="1" t="str">
        <v>UTILITIES</v>
      </c>
      <c r="F85" s="4" t="n">
        <v>300</v>
      </c>
      <c r="G85" s="1" t="str">
        <v>USD</v>
      </c>
    </row>
    <row r="86" ht="23" customHeight="1">
      <c r="A86" s="1" t="str">
        <v>T0085</v>
      </c>
      <c r="B86" s="1" t="str">
        <v>U022</v>
      </c>
      <c r="C86" s="5" t="n">
        <v>46296</v>
      </c>
      <c r="D86" s="1" t="str">
        <v>INCOME</v>
      </c>
      <c r="E86" s="1" t="str">
        <v>SALARY</v>
      </c>
      <c r="F86" s="4" t="n">
        <v>5220</v>
      </c>
      <c r="G86" s="1" t="str">
        <v>USD</v>
      </c>
    </row>
    <row r="87" ht="23" customHeight="1">
      <c r="A87" s="1" t="str">
        <v>T0086</v>
      </c>
      <c r="B87" s="1" t="str">
        <v>U022</v>
      </c>
      <c r="C87" s="5" t="n">
        <v>46297</v>
      </c>
      <c r="D87" s="1" t="str">
        <v>EXPENSE</v>
      </c>
      <c r="E87" s="1" t="str">
        <v>HOUSING</v>
      </c>
      <c r="F87" s="4" t="n">
        <v>1800</v>
      </c>
      <c r="G87" s="1" t="str">
        <v>USD</v>
      </c>
    </row>
    <row r="88" ht="23" customHeight="1">
      <c r="A88" s="1" t="str">
        <v>T0087</v>
      </c>
      <c r="B88" s="1" t="str">
        <v>U022</v>
      </c>
      <c r="C88" s="5" t="n">
        <v>46298</v>
      </c>
      <c r="D88" s="1" t="str">
        <v>EXPENSE</v>
      </c>
      <c r="E88" s="1" t="str">
        <v>GROCERIES</v>
      </c>
      <c r="F88" s="4" t="n">
        <v>600</v>
      </c>
      <c r="G88" s="1" t="str">
        <v>USD</v>
      </c>
    </row>
    <row r="89" ht="23" customHeight="1">
      <c r="A89" s="1" t="str">
        <v>T0088</v>
      </c>
      <c r="B89" s="1" t="str">
        <v>U022</v>
      </c>
      <c r="C89" s="5" t="n">
        <v>46299</v>
      </c>
      <c r="D89" s="1" t="str">
        <v>EXPENSE</v>
      </c>
      <c r="E89" s="1" t="str">
        <v>UTILITIES</v>
      </c>
      <c r="F89" s="4" t="n">
        <v>300</v>
      </c>
      <c r="G89" s="1" t="str">
        <v>USD</v>
      </c>
    </row>
    <row r="90" ht="23" customHeight="1">
      <c r="A90" s="1" t="str">
        <v>T0089</v>
      </c>
      <c r="B90" s="1" t="str">
        <v>U023</v>
      </c>
      <c r="C90" s="5" t="n">
        <v>46296</v>
      </c>
      <c r="D90" s="1" t="str">
        <v>INCOME</v>
      </c>
      <c r="E90" s="1" t="str">
        <v>SALARY</v>
      </c>
      <c r="F90" s="4" t="n">
        <v>5230</v>
      </c>
      <c r="G90" s="1" t="str">
        <v>USD</v>
      </c>
    </row>
    <row r="91" ht="23" customHeight="1">
      <c r="A91" s="1" t="str">
        <v>T0090</v>
      </c>
      <c r="B91" s="1" t="str">
        <v>U023</v>
      </c>
      <c r="C91" s="5" t="n">
        <v>46297</v>
      </c>
      <c r="D91" s="1" t="str">
        <v>EXPENSE</v>
      </c>
      <c r="E91" s="1" t="str">
        <v>HOUSING</v>
      </c>
      <c r="F91" s="4" t="n">
        <v>1800</v>
      </c>
      <c r="G91" s="1" t="str">
        <v>USD</v>
      </c>
    </row>
    <row r="92" ht="23" customHeight="1">
      <c r="A92" s="1" t="str">
        <v>T0091</v>
      </c>
      <c r="B92" s="1" t="str">
        <v>U023</v>
      </c>
      <c r="C92" s="5" t="n">
        <v>46298</v>
      </c>
      <c r="D92" s="1" t="str">
        <v>EXPENSE</v>
      </c>
      <c r="E92" s="1" t="str">
        <v>GROCERIES</v>
      </c>
      <c r="F92" s="4" t="n">
        <v>600</v>
      </c>
      <c r="G92" s="1" t="str">
        <v>USD</v>
      </c>
    </row>
    <row r="93" ht="23" customHeight="1">
      <c r="A93" s="1" t="str">
        <v>T0092</v>
      </c>
      <c r="B93" s="1" t="str">
        <v>U023</v>
      </c>
      <c r="C93" s="5" t="n">
        <v>46299</v>
      </c>
      <c r="D93" s="1" t="str">
        <v>EXPENSE</v>
      </c>
      <c r="E93" s="1" t="str">
        <v>UTILITIES</v>
      </c>
      <c r="F93" s="4" t="n">
        <v>300</v>
      </c>
      <c r="G93" s="1" t="str">
        <v>USD</v>
      </c>
    </row>
    <row r="94" ht="23" customHeight="1">
      <c r="A94" s="1" t="str">
        <v>T0093</v>
      </c>
      <c r="B94" s="1" t="str">
        <v>U024</v>
      </c>
      <c r="C94" s="5" t="n">
        <v>46296</v>
      </c>
      <c r="D94" s="1" t="str">
        <v>INCOME</v>
      </c>
      <c r="E94" s="1" t="str">
        <v>SALARY</v>
      </c>
      <c r="F94" s="4" t="n">
        <v>5240</v>
      </c>
      <c r="G94" s="1" t="str">
        <v>USD</v>
      </c>
    </row>
    <row r="95" ht="23" customHeight="1">
      <c r="A95" s="1" t="str">
        <v>T0094</v>
      </c>
      <c r="B95" s="1" t="str">
        <v>U024</v>
      </c>
      <c r="C95" s="5" t="n">
        <v>46297</v>
      </c>
      <c r="D95" s="1" t="str">
        <v>EXPENSE</v>
      </c>
      <c r="E95" s="1" t="str">
        <v>HOUSING</v>
      </c>
      <c r="F95" s="4" t="n">
        <v>1800</v>
      </c>
      <c r="G95" s="1" t="str">
        <v>USD</v>
      </c>
    </row>
    <row r="96" ht="23" customHeight="1">
      <c r="A96" s="1" t="str">
        <v>T0095</v>
      </c>
      <c r="B96" s="1" t="str">
        <v>U024</v>
      </c>
      <c r="C96" s="5" t="n">
        <v>46298</v>
      </c>
      <c r="D96" s="1" t="str">
        <v>EXPENSE</v>
      </c>
      <c r="E96" s="1" t="str">
        <v>GROCERIES</v>
      </c>
      <c r="F96" s="4" t="n">
        <v>600</v>
      </c>
      <c r="G96" s="1" t="str">
        <v>USD</v>
      </c>
    </row>
    <row r="97" ht="23" customHeight="1">
      <c r="A97" s="1" t="str">
        <v>T0096</v>
      </c>
      <c r="B97" s="1" t="str">
        <v>U024</v>
      </c>
      <c r="C97" s="5" t="n">
        <v>46299</v>
      </c>
      <c r="D97" s="1" t="str">
        <v>EXPENSE</v>
      </c>
      <c r="E97" s="1" t="str">
        <v>UTILITIES</v>
      </c>
      <c r="F97" s="4" t="n">
        <v>300</v>
      </c>
      <c r="G97" s="1" t="str">
        <v>USD</v>
      </c>
    </row>
    <row r="98" ht="23" customHeight="1">
      <c r="A98" s="1" t="str">
        <v>T0097</v>
      </c>
      <c r="B98" s="1" t="str">
        <v>U025</v>
      </c>
      <c r="C98" s="5" t="n">
        <v>46296</v>
      </c>
      <c r="D98" s="1" t="str">
        <v>INCOME</v>
      </c>
      <c r="E98" s="1" t="str">
        <v>SALARY</v>
      </c>
      <c r="F98" s="4" t="n">
        <v>5250</v>
      </c>
      <c r="G98" s="1" t="str">
        <v>USD</v>
      </c>
    </row>
    <row r="99" ht="23" customHeight="1">
      <c r="A99" s="1" t="str">
        <v>T0098</v>
      </c>
      <c r="B99" s="1" t="str">
        <v>U025</v>
      </c>
      <c r="C99" s="5" t="n">
        <v>46297</v>
      </c>
      <c r="D99" s="1" t="str">
        <v>EXPENSE</v>
      </c>
      <c r="E99" s="1" t="str">
        <v>HOUSING</v>
      </c>
      <c r="F99" s="4" t="n">
        <v>1800</v>
      </c>
      <c r="G99" s="1" t="str">
        <v>USD</v>
      </c>
    </row>
    <row r="100" ht="23" customHeight="1">
      <c r="A100" s="1" t="str">
        <v>T0099</v>
      </c>
      <c r="B100" s="1" t="str">
        <v>U025</v>
      </c>
      <c r="C100" s="5" t="n">
        <v>46298</v>
      </c>
      <c r="D100" s="1" t="str">
        <v>EXPENSE</v>
      </c>
      <c r="E100" s="1" t="str">
        <v>GROCERIES</v>
      </c>
      <c r="F100" s="4" t="n">
        <v>600</v>
      </c>
      <c r="G100" s="1" t="str">
        <v>USD</v>
      </c>
    </row>
    <row r="101" ht="23" customHeight="1">
      <c r="A101" s="1" t="str">
        <v>T0100</v>
      </c>
      <c r="B101" s="1" t="str">
        <v>U025</v>
      </c>
      <c r="C101" s="5" t="n">
        <v>46299</v>
      </c>
      <c r="D101" s="1" t="str">
        <v>EXPENSE</v>
      </c>
      <c r="E101" s="1" t="str">
        <v>UTILITIES</v>
      </c>
      <c r="F101" s="4" t="n">
        <v>300</v>
      </c>
      <c r="G101" s="1" t="str">
        <v>USD</v>
      </c>
    </row>
    <row r="102" ht="23" customHeight="1">
      <c r="A102" s="1" t="str">
        <v>T0101</v>
      </c>
      <c r="B102" s="1" t="str">
        <v>U026</v>
      </c>
      <c r="C102" s="5" t="n">
        <v>46296</v>
      </c>
      <c r="D102" s="1" t="str">
        <v>INCOME</v>
      </c>
      <c r="E102" s="1" t="str">
        <v>SALARY</v>
      </c>
      <c r="F102" s="4" t="n">
        <v>5260</v>
      </c>
      <c r="G102" s="1" t="str">
        <v>USD</v>
      </c>
    </row>
    <row r="103" ht="23" customHeight="1">
      <c r="A103" s="1" t="str">
        <v>T0102</v>
      </c>
      <c r="B103" s="1" t="str">
        <v>U026</v>
      </c>
      <c r="C103" s="5" t="n">
        <v>46297</v>
      </c>
      <c r="D103" s="1" t="str">
        <v>EXPENSE</v>
      </c>
      <c r="E103" s="1" t="str">
        <v>HOUSING</v>
      </c>
      <c r="F103" s="4" t="n">
        <v>1800</v>
      </c>
      <c r="G103" s="1" t="str">
        <v>USD</v>
      </c>
    </row>
    <row r="104" ht="23" customHeight="1">
      <c r="A104" s="1" t="str">
        <v>T0103</v>
      </c>
      <c r="B104" s="1" t="str">
        <v>U026</v>
      </c>
      <c r="C104" s="5" t="n">
        <v>46298</v>
      </c>
      <c r="D104" s="1" t="str">
        <v>EXPENSE</v>
      </c>
      <c r="E104" s="1" t="str">
        <v>GROCERIES</v>
      </c>
      <c r="F104" s="4" t="n">
        <v>600</v>
      </c>
      <c r="G104" s="1" t="str">
        <v>USD</v>
      </c>
    </row>
    <row r="105" ht="23" customHeight="1">
      <c r="A105" s="1" t="str">
        <v>T0104</v>
      </c>
      <c r="B105" s="1" t="str">
        <v>U026</v>
      </c>
      <c r="C105" s="5" t="n">
        <v>46299</v>
      </c>
      <c r="D105" s="1" t="str">
        <v>EXPENSE</v>
      </c>
      <c r="E105" s="1" t="str">
        <v>UTILITIES</v>
      </c>
      <c r="F105" s="4" t="n">
        <v>300</v>
      </c>
      <c r="G105" s="1" t="str">
        <v>USD</v>
      </c>
    </row>
    <row r="106" ht="23" customHeight="1">
      <c r="A106" s="1" t="str">
        <v>T0105</v>
      </c>
      <c r="B106" s="1" t="str">
        <v>U027</v>
      </c>
      <c r="C106" s="5" t="n">
        <v>46296</v>
      </c>
      <c r="D106" s="1" t="str">
        <v>INCOME</v>
      </c>
      <c r="E106" s="1" t="str">
        <v>SALARY</v>
      </c>
      <c r="F106" s="4" t="n">
        <v>5270</v>
      </c>
      <c r="G106" s="1" t="str">
        <v>USD</v>
      </c>
    </row>
    <row r="107" ht="23" customHeight="1">
      <c r="A107" s="1" t="str">
        <v>T0106</v>
      </c>
      <c r="B107" s="1" t="str">
        <v>U027</v>
      </c>
      <c r="C107" s="5" t="n">
        <v>46297</v>
      </c>
      <c r="D107" s="1" t="str">
        <v>EXPENSE</v>
      </c>
      <c r="E107" s="1" t="str">
        <v>HOUSING</v>
      </c>
      <c r="F107" s="4" t="n">
        <v>1800</v>
      </c>
      <c r="G107" s="1" t="str">
        <v>USD</v>
      </c>
    </row>
    <row r="108" ht="23" customHeight="1">
      <c r="A108" s="1" t="str">
        <v>T0107</v>
      </c>
      <c r="B108" s="1" t="str">
        <v>U027</v>
      </c>
      <c r="C108" s="5" t="n">
        <v>46298</v>
      </c>
      <c r="D108" s="1" t="str">
        <v>EXPENSE</v>
      </c>
      <c r="E108" s="1" t="str">
        <v>GROCERIES</v>
      </c>
      <c r="F108" s="4" t="n">
        <v>600</v>
      </c>
      <c r="G108" s="1" t="str">
        <v>USD</v>
      </c>
    </row>
    <row r="109" ht="23" customHeight="1">
      <c r="A109" s="1" t="str">
        <v>T0108</v>
      </c>
      <c r="B109" s="1" t="str">
        <v>U027</v>
      </c>
      <c r="C109" s="5" t="n">
        <v>46299</v>
      </c>
      <c r="D109" s="1" t="str">
        <v>EXPENSE</v>
      </c>
      <c r="E109" s="1" t="str">
        <v>UTILITIES</v>
      </c>
      <c r="F109" s="4" t="n">
        <v>300</v>
      </c>
      <c r="G109" s="1" t="str">
        <v>USD</v>
      </c>
    </row>
    <row r="110" ht="23" customHeight="1">
      <c r="A110" s="1" t="str">
        <v>T0109</v>
      </c>
      <c r="B110" s="1" t="str">
        <v>U028</v>
      </c>
      <c r="C110" s="5" t="n">
        <v>46296</v>
      </c>
      <c r="D110" s="1" t="str">
        <v>INCOME</v>
      </c>
      <c r="E110" s="1" t="str">
        <v>SALARY</v>
      </c>
      <c r="F110" s="4" t="n">
        <v>5280</v>
      </c>
      <c r="G110" s="1" t="str">
        <v>USD</v>
      </c>
    </row>
    <row r="111" ht="23" customHeight="1">
      <c r="A111" s="1" t="str">
        <v>T0110</v>
      </c>
      <c r="B111" s="1" t="str">
        <v>U028</v>
      </c>
      <c r="C111" s="5" t="n">
        <v>46297</v>
      </c>
      <c r="D111" s="1" t="str">
        <v>EXPENSE</v>
      </c>
      <c r="E111" s="1" t="str">
        <v>HOUSING</v>
      </c>
      <c r="F111" s="4" t="n">
        <v>1800</v>
      </c>
      <c r="G111" s="1" t="str">
        <v>USD</v>
      </c>
    </row>
    <row r="112" ht="23" customHeight="1">
      <c r="A112" s="1" t="str">
        <v>T0111</v>
      </c>
      <c r="B112" s="1" t="str">
        <v>U028</v>
      </c>
      <c r="C112" s="5" t="n">
        <v>46298</v>
      </c>
      <c r="D112" s="1" t="str">
        <v>EXPENSE</v>
      </c>
      <c r="E112" s="1" t="str">
        <v>GROCERIES</v>
      </c>
      <c r="F112" s="4" t="n">
        <v>600</v>
      </c>
      <c r="G112" s="1" t="str">
        <v>USD</v>
      </c>
    </row>
    <row r="113" ht="23" customHeight="1">
      <c r="A113" s="1" t="str">
        <v>T0112</v>
      </c>
      <c r="B113" s="1" t="str">
        <v>U028</v>
      </c>
      <c r="C113" s="5" t="n">
        <v>46299</v>
      </c>
      <c r="D113" s="1" t="str">
        <v>EXPENSE</v>
      </c>
      <c r="E113" s="1" t="str">
        <v>UTILITIES</v>
      </c>
      <c r="F113" s="4" t="n">
        <v>300</v>
      </c>
      <c r="G113" s="1" t="str">
        <v>USD</v>
      </c>
    </row>
    <row r="114" ht="23" customHeight="1">
      <c r="A114" s="1" t="str">
        <v>T0113</v>
      </c>
      <c r="B114" s="1" t="str">
        <v>U029</v>
      </c>
      <c r="C114" s="5" t="n">
        <v>46296</v>
      </c>
      <c r="D114" s="1" t="str">
        <v>INCOME</v>
      </c>
      <c r="E114" s="1" t="str">
        <v>SALARY</v>
      </c>
      <c r="F114" s="4" t="n">
        <v>5290</v>
      </c>
      <c r="G114" s="1" t="str">
        <v>USD</v>
      </c>
    </row>
    <row r="115" ht="23" customHeight="1">
      <c r="A115" s="1" t="str">
        <v>T0114</v>
      </c>
      <c r="B115" s="1" t="str">
        <v>U029</v>
      </c>
      <c r="C115" s="5" t="n">
        <v>46297</v>
      </c>
      <c r="D115" s="1" t="str">
        <v>EXPENSE</v>
      </c>
      <c r="E115" s="1" t="str">
        <v>HOUSING</v>
      </c>
      <c r="F115" s="4" t="n">
        <v>1800</v>
      </c>
      <c r="G115" s="1" t="str">
        <v>USD</v>
      </c>
    </row>
    <row r="116" ht="23" customHeight="1">
      <c r="A116" s="1" t="str">
        <v>T0115</v>
      </c>
      <c r="B116" s="1" t="str">
        <v>U029</v>
      </c>
      <c r="C116" s="5" t="n">
        <v>46298</v>
      </c>
      <c r="D116" s="1" t="str">
        <v>EXPENSE</v>
      </c>
      <c r="E116" s="1" t="str">
        <v>GROCERIES</v>
      </c>
      <c r="F116" s="4" t="n">
        <v>600</v>
      </c>
      <c r="G116" s="1" t="str">
        <v>USD</v>
      </c>
    </row>
    <row r="117" ht="23" customHeight="1">
      <c r="A117" s="1" t="str">
        <v>T0116</v>
      </c>
      <c r="B117" s="1" t="str">
        <v>U029</v>
      </c>
      <c r="C117" s="5" t="n">
        <v>46299</v>
      </c>
      <c r="D117" s="1" t="str">
        <v>EXPENSE</v>
      </c>
      <c r="E117" s="1" t="str">
        <v>UTILITIES</v>
      </c>
      <c r="F117" s="4" t="n">
        <v>300</v>
      </c>
      <c r="G117" s="1" t="str">
        <v>USD</v>
      </c>
    </row>
    <row r="118" ht="23" customHeight="1">
      <c r="A118" s="1" t="str">
        <v>T0117</v>
      </c>
      <c r="B118" s="1" t="str">
        <v>U030</v>
      </c>
      <c r="C118" s="5" t="n">
        <v>46296</v>
      </c>
      <c r="D118" s="1" t="str">
        <v>INCOME</v>
      </c>
      <c r="E118" s="1" t="str">
        <v>SALARY</v>
      </c>
      <c r="F118" s="4" t="n">
        <v>5300</v>
      </c>
      <c r="G118" s="1" t="str">
        <v>USD</v>
      </c>
    </row>
    <row r="119" ht="23" customHeight="1">
      <c r="A119" s="1" t="str">
        <v>T0118</v>
      </c>
      <c r="B119" s="1" t="str">
        <v>U030</v>
      </c>
      <c r="C119" s="5" t="n">
        <v>46297</v>
      </c>
      <c r="D119" s="1" t="str">
        <v>EXPENSE</v>
      </c>
      <c r="E119" s="1" t="str">
        <v>HOUSING</v>
      </c>
      <c r="F119" s="4" t="n">
        <v>1800</v>
      </c>
      <c r="G119" s="1" t="str">
        <v>USD</v>
      </c>
    </row>
    <row r="120" ht="23" customHeight="1">
      <c r="A120" s="1" t="str">
        <v>T0119</v>
      </c>
      <c r="B120" s="1" t="str">
        <v>U030</v>
      </c>
      <c r="C120" s="5" t="n">
        <v>46298</v>
      </c>
      <c r="D120" s="1" t="str">
        <v>EXPENSE</v>
      </c>
      <c r="E120" s="1" t="str">
        <v>GROCERIES</v>
      </c>
      <c r="F120" s="4" t="n">
        <v>600</v>
      </c>
      <c r="G120" s="1" t="str">
        <v>USD</v>
      </c>
    </row>
    <row r="121" ht="23" customHeight="1">
      <c r="A121" s="1" t="str">
        <v>T0120</v>
      </c>
      <c r="B121" s="1" t="str">
        <v>U030</v>
      </c>
      <c r="C121" s="5" t="n">
        <v>46299</v>
      </c>
      <c r="D121" s="1" t="str">
        <v>EXPENSE</v>
      </c>
      <c r="E121" s="1" t="str">
        <v>UTILITIES</v>
      </c>
      <c r="F121" s="4" t="n">
        <v>300</v>
      </c>
      <c r="G121" s="1" t="str">
        <v>USD</v>
      </c>
    </row>
    <row r="122" ht="23" customHeight="1">
      <c r="A122" s="1" t="str">
        <v>T0121</v>
      </c>
      <c r="B122" s="1" t="str">
        <v>U031</v>
      </c>
      <c r="C122" s="5" t="n">
        <v>46296</v>
      </c>
      <c r="D122" s="1" t="str">
        <v>INCOME</v>
      </c>
      <c r="E122" s="1" t="str">
        <v>SALARY</v>
      </c>
      <c r="F122" s="4" t="n">
        <v>5310</v>
      </c>
      <c r="G122" s="1" t="str">
        <v>USD</v>
      </c>
    </row>
    <row r="123" ht="23" customHeight="1">
      <c r="A123" s="1" t="str">
        <v>T0122</v>
      </c>
      <c r="B123" s="1" t="str">
        <v>U031</v>
      </c>
      <c r="C123" s="5" t="n">
        <v>46297</v>
      </c>
      <c r="D123" s="1" t="str">
        <v>EXPENSE</v>
      </c>
      <c r="E123" s="1" t="str">
        <v>HOUSING</v>
      </c>
      <c r="F123" s="4" t="n">
        <v>1800</v>
      </c>
      <c r="G123" s="1" t="str">
        <v>USD</v>
      </c>
    </row>
    <row r="124" ht="23" customHeight="1">
      <c r="A124" s="1" t="str">
        <v>T0123</v>
      </c>
      <c r="B124" s="1" t="str">
        <v>U031</v>
      </c>
      <c r="C124" s="5" t="n">
        <v>46298</v>
      </c>
      <c r="D124" s="1" t="str">
        <v>EXPENSE</v>
      </c>
      <c r="E124" s="1" t="str">
        <v>GROCERIES</v>
      </c>
      <c r="F124" s="4" t="n">
        <v>600</v>
      </c>
      <c r="G124" s="1" t="str">
        <v>USD</v>
      </c>
    </row>
    <row r="125" ht="23" customHeight="1">
      <c r="A125" s="1" t="str">
        <v>T0124</v>
      </c>
      <c r="B125" s="1" t="str">
        <v>U031</v>
      </c>
      <c r="C125" s="5" t="n">
        <v>46299</v>
      </c>
      <c r="D125" s="1" t="str">
        <v>EXPENSE</v>
      </c>
      <c r="E125" s="1" t="str">
        <v>UTILITIES</v>
      </c>
      <c r="F125" s="4" t="n">
        <v>300</v>
      </c>
      <c r="G125" s="1" t="str">
        <v>USD</v>
      </c>
    </row>
    <row r="126" ht="23" customHeight="1">
      <c r="A126" s="1" t="str">
        <v>T0125</v>
      </c>
      <c r="B126" s="1" t="str">
        <v>U032</v>
      </c>
      <c r="C126" s="5" t="n">
        <v>46296</v>
      </c>
      <c r="D126" s="1" t="str">
        <v>INCOME</v>
      </c>
      <c r="E126" s="1" t="str">
        <v>SALARY</v>
      </c>
      <c r="F126" s="4" t="n">
        <v>5320</v>
      </c>
      <c r="G126" s="1" t="str">
        <v>USD</v>
      </c>
    </row>
    <row r="127" ht="23" customHeight="1">
      <c r="A127" s="1" t="str">
        <v>T0126</v>
      </c>
      <c r="B127" s="1" t="str">
        <v>U032</v>
      </c>
      <c r="C127" s="5" t="n">
        <v>46297</v>
      </c>
      <c r="D127" s="1" t="str">
        <v>EXPENSE</v>
      </c>
      <c r="E127" s="1" t="str">
        <v>HOUSING</v>
      </c>
      <c r="F127" s="4" t="n">
        <v>1800</v>
      </c>
      <c r="G127" s="1" t="str">
        <v>USD</v>
      </c>
    </row>
    <row r="128" ht="23" customHeight="1">
      <c r="A128" s="1" t="str">
        <v>T0127</v>
      </c>
      <c r="B128" s="1" t="str">
        <v>U032</v>
      </c>
      <c r="C128" s="5" t="n">
        <v>46298</v>
      </c>
      <c r="D128" s="1" t="str">
        <v>EXPENSE</v>
      </c>
      <c r="E128" s="1" t="str">
        <v>GROCERIES</v>
      </c>
      <c r="F128" s="4" t="n">
        <v>600</v>
      </c>
      <c r="G128" s="1" t="str">
        <v>USD</v>
      </c>
    </row>
    <row r="129" ht="23" customHeight="1">
      <c r="A129" s="1" t="str">
        <v>T0128</v>
      </c>
      <c r="B129" s="1" t="str">
        <v>U032</v>
      </c>
      <c r="C129" s="5" t="n">
        <v>46299</v>
      </c>
      <c r="D129" s="1" t="str">
        <v>EXPENSE</v>
      </c>
      <c r="E129" s="1" t="str">
        <v>UTILITIES</v>
      </c>
      <c r="F129" s="4" t="n">
        <v>300</v>
      </c>
      <c r="G129" s="1" t="str">
        <v>USD</v>
      </c>
    </row>
    <row r="130" ht="23" customHeight="1">
      <c r="A130" s="1" t="str">
        <v>T0129</v>
      </c>
      <c r="B130" s="1" t="str">
        <v>U033</v>
      </c>
      <c r="C130" s="5" t="n">
        <v>46296</v>
      </c>
      <c r="D130" s="1" t="str">
        <v>INCOME</v>
      </c>
      <c r="E130" s="1" t="str">
        <v>SALARY</v>
      </c>
      <c r="F130" s="4" t="n">
        <v>5330</v>
      </c>
      <c r="G130" s="1" t="str">
        <v>USD</v>
      </c>
    </row>
    <row r="131" ht="23" customHeight="1">
      <c r="A131" s="1" t="str">
        <v>T0130</v>
      </c>
      <c r="B131" s="1" t="str">
        <v>U033</v>
      </c>
      <c r="C131" s="5" t="n">
        <v>46297</v>
      </c>
      <c r="D131" s="1" t="str">
        <v>EXPENSE</v>
      </c>
      <c r="E131" s="1" t="str">
        <v>HOUSING</v>
      </c>
      <c r="F131" s="4" t="n">
        <v>1800</v>
      </c>
      <c r="G131" s="1" t="str">
        <v>USD</v>
      </c>
    </row>
    <row r="132" ht="23" customHeight="1">
      <c r="A132" s="1" t="str">
        <v>T0131</v>
      </c>
      <c r="B132" s="1" t="str">
        <v>U033</v>
      </c>
      <c r="C132" s="5" t="n">
        <v>46298</v>
      </c>
      <c r="D132" s="1" t="str">
        <v>EXPENSE</v>
      </c>
      <c r="E132" s="1" t="str">
        <v>GROCERIES</v>
      </c>
      <c r="F132" s="4" t="n">
        <v>600</v>
      </c>
      <c r="G132" s="1" t="str">
        <v>USD</v>
      </c>
    </row>
    <row r="133" ht="23" customHeight="1">
      <c r="A133" s="1" t="str">
        <v>T0132</v>
      </c>
      <c r="B133" s="1" t="str">
        <v>U033</v>
      </c>
      <c r="C133" s="5" t="n">
        <v>46299</v>
      </c>
      <c r="D133" s="1" t="str">
        <v>EXPENSE</v>
      </c>
      <c r="E133" s="1" t="str">
        <v>UTILITIES</v>
      </c>
      <c r="F133" s="4" t="n">
        <v>300</v>
      </c>
      <c r="G133" s="1" t="str">
        <v>USD</v>
      </c>
    </row>
    <row r="134" ht="23" customHeight="1">
      <c r="A134" s="1" t="str">
        <v>T0133</v>
      </c>
      <c r="B134" s="1" t="str">
        <v>U034</v>
      </c>
      <c r="C134" s="5" t="n">
        <v>46296</v>
      </c>
      <c r="D134" s="1" t="str">
        <v>INCOME</v>
      </c>
      <c r="E134" s="1" t="str">
        <v>SALARY</v>
      </c>
      <c r="F134" s="4" t="n">
        <v>5340</v>
      </c>
      <c r="G134" s="1" t="str">
        <v>USD</v>
      </c>
    </row>
    <row r="135" ht="23" customHeight="1">
      <c r="A135" s="1" t="str">
        <v>T0134</v>
      </c>
      <c r="B135" s="1" t="str">
        <v>U034</v>
      </c>
      <c r="C135" s="5" t="n">
        <v>46297</v>
      </c>
      <c r="D135" s="1" t="str">
        <v>EXPENSE</v>
      </c>
      <c r="E135" s="1" t="str">
        <v>HOUSING</v>
      </c>
      <c r="F135" s="4" t="n">
        <v>1800</v>
      </c>
      <c r="G135" s="1" t="str">
        <v>USD</v>
      </c>
    </row>
    <row r="136" ht="23" customHeight="1">
      <c r="A136" s="1" t="str">
        <v>T0135</v>
      </c>
      <c r="B136" s="1" t="str">
        <v>U034</v>
      </c>
      <c r="C136" s="5" t="n">
        <v>46298</v>
      </c>
      <c r="D136" s="1" t="str">
        <v>EXPENSE</v>
      </c>
      <c r="E136" s="1" t="str">
        <v>GROCERIES</v>
      </c>
      <c r="F136" s="4" t="n">
        <v>600</v>
      </c>
      <c r="G136" s="1" t="str">
        <v>USD</v>
      </c>
    </row>
    <row r="137" ht="23" customHeight="1">
      <c r="A137" s="1" t="str">
        <v>T0136</v>
      </c>
      <c r="B137" s="1" t="str">
        <v>U034</v>
      </c>
      <c r="C137" s="5" t="n">
        <v>46299</v>
      </c>
      <c r="D137" s="1" t="str">
        <v>EXPENSE</v>
      </c>
      <c r="E137" s="1" t="str">
        <v>UTILITIES</v>
      </c>
      <c r="F137" s="4" t="n">
        <v>300</v>
      </c>
      <c r="G137" s="1" t="str">
        <v>USD</v>
      </c>
    </row>
    <row r="138" ht="23" customHeight="1">
      <c r="A138" s="1" t="str">
        <v>T0137</v>
      </c>
      <c r="B138" s="1" t="str">
        <v>U035</v>
      </c>
      <c r="C138" s="5" t="n">
        <v>46296</v>
      </c>
      <c r="D138" s="1" t="str">
        <v>INCOME</v>
      </c>
      <c r="E138" s="1" t="str">
        <v>SALARY</v>
      </c>
      <c r="F138" s="4" t="n">
        <v>5350</v>
      </c>
      <c r="G138" s="1" t="str">
        <v>USD</v>
      </c>
    </row>
    <row r="139" ht="23" customHeight="1">
      <c r="A139" s="1" t="str">
        <v>T0138</v>
      </c>
      <c r="B139" s="1" t="str">
        <v>U035</v>
      </c>
      <c r="C139" s="5" t="n">
        <v>46297</v>
      </c>
      <c r="D139" s="1" t="str">
        <v>EXPENSE</v>
      </c>
      <c r="E139" s="1" t="str">
        <v>HOUSING</v>
      </c>
      <c r="F139" s="4" t="n">
        <v>1800</v>
      </c>
      <c r="G139" s="1" t="str">
        <v>USD</v>
      </c>
    </row>
    <row r="140" ht="23" customHeight="1">
      <c r="A140" s="1" t="str">
        <v>T0139</v>
      </c>
      <c r="B140" s="1" t="str">
        <v>U035</v>
      </c>
      <c r="C140" s="5" t="n">
        <v>46298</v>
      </c>
      <c r="D140" s="1" t="str">
        <v>EXPENSE</v>
      </c>
      <c r="E140" s="1" t="str">
        <v>GROCERIES</v>
      </c>
      <c r="F140" s="4" t="n">
        <v>600</v>
      </c>
      <c r="G140" s="1" t="str">
        <v>USD</v>
      </c>
    </row>
    <row r="141" ht="23" customHeight="1">
      <c r="A141" s="1" t="str">
        <v>T0140</v>
      </c>
      <c r="B141" s="1" t="str">
        <v>U035</v>
      </c>
      <c r="C141" s="5" t="n">
        <v>46299</v>
      </c>
      <c r="D141" s="1" t="str">
        <v>EXPENSE</v>
      </c>
      <c r="E141" s="1" t="str">
        <v>UTILITIES</v>
      </c>
      <c r="F141" s="4" t="n">
        <v>300</v>
      </c>
      <c r="G141" s="1" t="str">
        <v>USD</v>
      </c>
    </row>
    <row r="142" ht="23" customHeight="1">
      <c r="A142" s="1" t="str">
        <v>T0141</v>
      </c>
      <c r="B142" s="1" t="str">
        <v>U036</v>
      </c>
      <c r="C142" s="5" t="n">
        <v>46296</v>
      </c>
      <c r="D142" s="1" t="str">
        <v>INCOME</v>
      </c>
      <c r="E142" s="1" t="str">
        <v>SALARY</v>
      </c>
      <c r="F142" s="4" t="n">
        <v>5360</v>
      </c>
      <c r="G142" s="1" t="str">
        <v>USD</v>
      </c>
    </row>
    <row r="143" ht="23" customHeight="1">
      <c r="A143" s="1" t="str">
        <v>T0142</v>
      </c>
      <c r="B143" s="1" t="str">
        <v>U036</v>
      </c>
      <c r="C143" s="5" t="n">
        <v>46297</v>
      </c>
      <c r="D143" s="1" t="str">
        <v>EXPENSE</v>
      </c>
      <c r="E143" s="1" t="str">
        <v>HOUSING</v>
      </c>
      <c r="F143" s="4" t="n">
        <v>1800</v>
      </c>
      <c r="G143" s="1" t="str">
        <v>USD</v>
      </c>
    </row>
    <row r="144" ht="23" customHeight="1">
      <c r="A144" s="1" t="str">
        <v>T0143</v>
      </c>
      <c r="B144" s="1" t="str">
        <v>U036</v>
      </c>
      <c r="C144" s="5" t="n">
        <v>46298</v>
      </c>
      <c r="D144" s="1" t="str">
        <v>EXPENSE</v>
      </c>
      <c r="E144" s="1" t="str">
        <v>GROCERIES</v>
      </c>
      <c r="F144" s="4" t="n">
        <v>600</v>
      </c>
      <c r="G144" s="1" t="str">
        <v>USD</v>
      </c>
    </row>
    <row r="145" ht="23" customHeight="1">
      <c r="A145" s="1" t="str">
        <v>T0144</v>
      </c>
      <c r="B145" s="1" t="str">
        <v>U036</v>
      </c>
      <c r="C145" s="5" t="n">
        <v>46299</v>
      </c>
      <c r="D145" s="1" t="str">
        <v>EXPENSE</v>
      </c>
      <c r="E145" s="1" t="str">
        <v>UTILITIES</v>
      </c>
      <c r="F145" s="4" t="n">
        <v>300</v>
      </c>
      <c r="G145" s="1" t="str">
        <v>USD</v>
      </c>
    </row>
    <row r="146" ht="23" customHeight="1">
      <c r="A146" s="1" t="str">
        <v>T0145</v>
      </c>
      <c r="B146" s="1" t="str">
        <v>U037</v>
      </c>
      <c r="C146" s="5" t="n">
        <v>46296</v>
      </c>
      <c r="D146" s="1" t="str">
        <v>INCOME</v>
      </c>
      <c r="E146" s="1" t="str">
        <v>SALARY</v>
      </c>
      <c r="F146" s="4" t="n">
        <v>5370</v>
      </c>
      <c r="G146" s="1" t="str">
        <v>USD</v>
      </c>
    </row>
    <row r="147" ht="23" customHeight="1">
      <c r="A147" s="1" t="str">
        <v>T0146</v>
      </c>
      <c r="B147" s="1" t="str">
        <v>U037</v>
      </c>
      <c r="C147" s="5" t="n">
        <v>46297</v>
      </c>
      <c r="D147" s="1" t="str">
        <v>EXPENSE</v>
      </c>
      <c r="E147" s="1" t="str">
        <v>HOUSING</v>
      </c>
      <c r="F147" s="4" t="n">
        <v>1800</v>
      </c>
      <c r="G147" s="1" t="str">
        <v>USD</v>
      </c>
    </row>
    <row r="148" ht="23" customHeight="1">
      <c r="A148" s="1" t="str">
        <v>T0147</v>
      </c>
      <c r="B148" s="1" t="str">
        <v>U037</v>
      </c>
      <c r="C148" s="5" t="n">
        <v>46298</v>
      </c>
      <c r="D148" s="1" t="str">
        <v>EXPENSE</v>
      </c>
      <c r="E148" s="1" t="str">
        <v>GROCERIES</v>
      </c>
      <c r="F148" s="4" t="n">
        <v>600</v>
      </c>
      <c r="G148" s="1" t="str">
        <v>USD</v>
      </c>
    </row>
    <row r="149" ht="23" customHeight="1">
      <c r="A149" s="1" t="str">
        <v>T0148</v>
      </c>
      <c r="B149" s="1" t="str">
        <v>U037</v>
      </c>
      <c r="C149" s="5" t="n">
        <v>46299</v>
      </c>
      <c r="D149" s="1" t="str">
        <v>EXPENSE</v>
      </c>
      <c r="E149" s="1" t="str">
        <v>UTILITIES</v>
      </c>
      <c r="F149" s="4" t="n">
        <v>300</v>
      </c>
      <c r="G149" s="1" t="str">
        <v>USD</v>
      </c>
    </row>
    <row r="150" ht="23" customHeight="1">
      <c r="A150" s="1" t="str">
        <v>T0149</v>
      </c>
      <c r="B150" s="1" t="str">
        <v>U038</v>
      </c>
      <c r="C150" s="5" t="n">
        <v>46296</v>
      </c>
      <c r="D150" s="1" t="str">
        <v>INCOME</v>
      </c>
      <c r="E150" s="1" t="str">
        <v>SALARY</v>
      </c>
      <c r="F150" s="4" t="n">
        <v>5380</v>
      </c>
      <c r="G150" s="1" t="str">
        <v>USD</v>
      </c>
    </row>
    <row r="151" ht="23" customHeight="1">
      <c r="A151" s="1" t="str">
        <v>T0150</v>
      </c>
      <c r="B151" s="1" t="str">
        <v>U038</v>
      </c>
      <c r="C151" s="5" t="n">
        <v>46297</v>
      </c>
      <c r="D151" s="1" t="str">
        <v>EXPENSE</v>
      </c>
      <c r="E151" s="1" t="str">
        <v>HOUSING</v>
      </c>
      <c r="F151" s="4" t="n">
        <v>1800</v>
      </c>
      <c r="G151" s="1" t="str">
        <v>USD</v>
      </c>
    </row>
    <row r="152" ht="23" customHeight="1">
      <c r="A152" s="1" t="str">
        <v>T0151</v>
      </c>
      <c r="B152" s="1" t="str">
        <v>U038</v>
      </c>
      <c r="C152" s="5" t="n">
        <v>46298</v>
      </c>
      <c r="D152" s="1" t="str">
        <v>EXPENSE</v>
      </c>
      <c r="E152" s="1" t="str">
        <v>GROCERIES</v>
      </c>
      <c r="F152" s="4" t="n">
        <v>600</v>
      </c>
      <c r="G152" s="1" t="str">
        <v>USD</v>
      </c>
    </row>
    <row r="153" ht="23" customHeight="1">
      <c r="A153" s="1" t="str">
        <v>T0152</v>
      </c>
      <c r="B153" s="1" t="str">
        <v>U038</v>
      </c>
      <c r="C153" s="5" t="n">
        <v>46299</v>
      </c>
      <c r="D153" s="1" t="str">
        <v>EXPENSE</v>
      </c>
      <c r="E153" s="1" t="str">
        <v>UTILITIES</v>
      </c>
      <c r="F153" s="4" t="n">
        <v>300</v>
      </c>
      <c r="G153" s="1" t="str">
        <v>USD</v>
      </c>
    </row>
    <row r="154" ht="23" customHeight="1">
      <c r="A154" s="1" t="str">
        <v>T0153</v>
      </c>
      <c r="B154" s="1" t="str">
        <v>U039</v>
      </c>
      <c r="C154" s="5" t="n">
        <v>46296</v>
      </c>
      <c r="D154" s="1" t="str">
        <v>INCOME</v>
      </c>
      <c r="E154" s="1" t="str">
        <v>SALARY</v>
      </c>
      <c r="F154" s="4" t="n">
        <v>5390</v>
      </c>
      <c r="G154" s="1" t="str">
        <v>USD</v>
      </c>
    </row>
    <row r="155" ht="23" customHeight="1">
      <c r="A155" s="1" t="str">
        <v>T0154</v>
      </c>
      <c r="B155" s="1" t="str">
        <v>U039</v>
      </c>
      <c r="C155" s="5" t="n">
        <v>46297</v>
      </c>
      <c r="D155" s="1" t="str">
        <v>EXPENSE</v>
      </c>
      <c r="E155" s="1" t="str">
        <v>HOUSING</v>
      </c>
      <c r="F155" s="4" t="n">
        <v>1800</v>
      </c>
      <c r="G155" s="1" t="str">
        <v>USD</v>
      </c>
    </row>
    <row r="156" ht="23" customHeight="1">
      <c r="A156" s="1" t="str">
        <v>T0155</v>
      </c>
      <c r="B156" s="1" t="str">
        <v>U039</v>
      </c>
      <c r="C156" s="5" t="n">
        <v>46298</v>
      </c>
      <c r="D156" s="1" t="str">
        <v>EXPENSE</v>
      </c>
      <c r="E156" s="1" t="str">
        <v>GROCERIES</v>
      </c>
      <c r="F156" s="4" t="n">
        <v>600</v>
      </c>
      <c r="G156" s="1" t="str">
        <v>USD</v>
      </c>
    </row>
    <row r="157" ht="23" customHeight="1">
      <c r="A157" s="1" t="str">
        <v>T0156</v>
      </c>
      <c r="B157" s="1" t="str">
        <v>U039</v>
      </c>
      <c r="C157" s="5" t="n">
        <v>46299</v>
      </c>
      <c r="D157" s="1" t="str">
        <v>EXPENSE</v>
      </c>
      <c r="E157" s="1" t="str">
        <v>UTILITIES</v>
      </c>
      <c r="F157" s="4" t="n">
        <v>300</v>
      </c>
      <c r="G157" s="1" t="str">
        <v>USD</v>
      </c>
    </row>
    <row r="158" ht="23" customHeight="1">
      <c r="A158" s="1" t="str">
        <v>T0157</v>
      </c>
      <c r="B158" s="1" t="str">
        <v>U040</v>
      </c>
      <c r="C158" s="5" t="n">
        <v>46296</v>
      </c>
      <c r="D158" s="1" t="str">
        <v>INCOME</v>
      </c>
      <c r="E158" s="1" t="str">
        <v>SALARY</v>
      </c>
      <c r="F158" s="4" t="n">
        <v>5400</v>
      </c>
      <c r="G158" s="1" t="str">
        <v>USD</v>
      </c>
    </row>
    <row r="159" ht="23" customHeight="1">
      <c r="A159" s="1" t="str">
        <v>T0158</v>
      </c>
      <c r="B159" s="1" t="str">
        <v>U040</v>
      </c>
      <c r="C159" s="5" t="n">
        <v>46297</v>
      </c>
      <c r="D159" s="1" t="str">
        <v>EXPENSE</v>
      </c>
      <c r="E159" s="1" t="str">
        <v>HOUSING</v>
      </c>
      <c r="F159" s="4" t="n">
        <v>1800</v>
      </c>
      <c r="G159" s="1" t="str">
        <v>USD</v>
      </c>
    </row>
    <row r="160" ht="23" customHeight="1">
      <c r="A160" s="1" t="str">
        <v>T0159</v>
      </c>
      <c r="B160" s="1" t="str">
        <v>U040</v>
      </c>
      <c r="C160" s="5" t="n">
        <v>46298</v>
      </c>
      <c r="D160" s="1" t="str">
        <v>EXPENSE</v>
      </c>
      <c r="E160" s="1" t="str">
        <v>GROCERIES</v>
      </c>
      <c r="F160" s="4" t="n">
        <v>600</v>
      </c>
      <c r="G160" s="1" t="str">
        <v>USD</v>
      </c>
    </row>
    <row r="161" ht="23" customHeight="1">
      <c r="A161" s="1" t="str">
        <v>T0160</v>
      </c>
      <c r="B161" s="1" t="str">
        <v>U040</v>
      </c>
      <c r="C161" s="5" t="n">
        <v>46299</v>
      </c>
      <c r="D161" s="1" t="str">
        <v>EXPENSE</v>
      </c>
      <c r="E161" s="1" t="str">
        <v>UTILITIES</v>
      </c>
      <c r="F161" s="4" t="n">
        <v>300</v>
      </c>
      <c r="G161" s="1" t="str">
        <v>USD</v>
      </c>
    </row>
    <row r="162" ht="23" customHeight="1">
      <c r="A162" s="1" t="str">
        <v>T0161</v>
      </c>
      <c r="B162" s="1" t="str">
        <v>U041</v>
      </c>
      <c r="C162" s="5" t="n">
        <v>46296</v>
      </c>
      <c r="D162" s="1" t="str">
        <v>INCOME</v>
      </c>
      <c r="E162" s="1" t="str">
        <v>SALARY</v>
      </c>
      <c r="F162" s="4" t="n">
        <v>5410</v>
      </c>
      <c r="G162" s="1" t="str">
        <v>USD</v>
      </c>
    </row>
    <row r="163" ht="23" customHeight="1">
      <c r="A163" s="1" t="str">
        <v>T0162</v>
      </c>
      <c r="B163" s="1" t="str">
        <v>U041</v>
      </c>
      <c r="C163" s="5" t="n">
        <v>46297</v>
      </c>
      <c r="D163" s="1" t="str">
        <v>EXPENSE</v>
      </c>
      <c r="E163" s="1" t="str">
        <v>HOUSING</v>
      </c>
      <c r="F163" s="4" t="n">
        <v>1800</v>
      </c>
      <c r="G163" s="1" t="str">
        <v>USD</v>
      </c>
    </row>
    <row r="164" ht="23" customHeight="1">
      <c r="A164" s="1" t="str">
        <v>T0163</v>
      </c>
      <c r="B164" s="1" t="str">
        <v>U041</v>
      </c>
      <c r="C164" s="5" t="n">
        <v>46298</v>
      </c>
      <c r="D164" s="1" t="str">
        <v>EXPENSE</v>
      </c>
      <c r="E164" s="1" t="str">
        <v>GROCERIES</v>
      </c>
      <c r="F164" s="4" t="n">
        <v>600</v>
      </c>
      <c r="G164" s="1" t="str">
        <v>USD</v>
      </c>
    </row>
    <row r="165" ht="23" customHeight="1">
      <c r="A165" s="1" t="str">
        <v>T0164</v>
      </c>
      <c r="B165" s="1" t="str">
        <v>U041</v>
      </c>
      <c r="C165" s="5" t="n">
        <v>46299</v>
      </c>
      <c r="D165" s="1" t="str">
        <v>EXPENSE</v>
      </c>
      <c r="E165" s="1" t="str">
        <v>UTILITIES</v>
      </c>
      <c r="F165" s="4" t="n">
        <v>300</v>
      </c>
      <c r="G165" s="1" t="str">
        <v>USD</v>
      </c>
    </row>
    <row r="166" ht="23" customHeight="1">
      <c r="A166" s="1" t="str">
        <v>T0165</v>
      </c>
      <c r="B166" s="1" t="str">
        <v>U042</v>
      </c>
      <c r="C166" s="5" t="n">
        <v>46296</v>
      </c>
      <c r="D166" s="1" t="str">
        <v>INCOME</v>
      </c>
      <c r="E166" s="1" t="str">
        <v>SALARY</v>
      </c>
      <c r="F166" s="4" t="n">
        <v>5420</v>
      </c>
      <c r="G166" s="1" t="str">
        <v>USD</v>
      </c>
    </row>
    <row r="167" ht="23" customHeight="1">
      <c r="A167" s="1" t="str">
        <v>T0166</v>
      </c>
      <c r="B167" s="1" t="str">
        <v>U042</v>
      </c>
      <c r="C167" s="5" t="n">
        <v>46297</v>
      </c>
      <c r="D167" s="1" t="str">
        <v>EXPENSE</v>
      </c>
      <c r="E167" s="1" t="str">
        <v>HOUSING</v>
      </c>
      <c r="F167" s="4" t="n">
        <v>1800</v>
      </c>
      <c r="G167" s="1" t="str">
        <v>USD</v>
      </c>
    </row>
    <row r="168" ht="23" customHeight="1">
      <c r="A168" s="1" t="str">
        <v>T0167</v>
      </c>
      <c r="B168" s="1" t="str">
        <v>U042</v>
      </c>
      <c r="C168" s="5" t="n">
        <v>46298</v>
      </c>
      <c r="D168" s="1" t="str">
        <v>EXPENSE</v>
      </c>
      <c r="E168" s="1" t="str">
        <v>GROCERIES</v>
      </c>
      <c r="F168" s="4" t="n">
        <v>600</v>
      </c>
      <c r="G168" s="1" t="str">
        <v>USD</v>
      </c>
    </row>
    <row r="169" ht="23" customHeight="1">
      <c r="A169" s="1" t="str">
        <v>T0168</v>
      </c>
      <c r="B169" s="1" t="str">
        <v>U042</v>
      </c>
      <c r="C169" s="5" t="n">
        <v>46299</v>
      </c>
      <c r="D169" s="1" t="str">
        <v>EXPENSE</v>
      </c>
      <c r="E169" s="1" t="str">
        <v>UTILITIES</v>
      </c>
      <c r="F169" s="4" t="n">
        <v>300</v>
      </c>
      <c r="G169" s="1" t="str">
        <v>USD</v>
      </c>
    </row>
    <row r="170" ht="23" customHeight="1">
      <c r="A170" s="1" t="str">
        <v>T0169</v>
      </c>
      <c r="B170" s="1" t="str">
        <v>U043</v>
      </c>
      <c r="C170" s="5" t="n">
        <v>46296</v>
      </c>
      <c r="D170" s="1" t="str">
        <v>INCOME</v>
      </c>
      <c r="E170" s="1" t="str">
        <v>SALARY</v>
      </c>
      <c r="F170" s="4" t="n">
        <v>5430</v>
      </c>
      <c r="G170" s="1" t="str">
        <v>USD</v>
      </c>
    </row>
    <row r="171" ht="23" customHeight="1">
      <c r="A171" s="1" t="str">
        <v>T0170</v>
      </c>
      <c r="B171" s="1" t="str">
        <v>U043</v>
      </c>
      <c r="C171" s="5" t="n">
        <v>46297</v>
      </c>
      <c r="D171" s="1" t="str">
        <v>EXPENSE</v>
      </c>
      <c r="E171" s="1" t="str">
        <v>HOUSING</v>
      </c>
      <c r="F171" s="4" t="n">
        <v>1800</v>
      </c>
      <c r="G171" s="1" t="str">
        <v>USD</v>
      </c>
    </row>
    <row r="172" ht="23" customHeight="1">
      <c r="A172" s="1" t="str">
        <v>T0171</v>
      </c>
      <c r="B172" s="1" t="str">
        <v>U043</v>
      </c>
      <c r="C172" s="5" t="n">
        <v>46298</v>
      </c>
      <c r="D172" s="1" t="str">
        <v>EXPENSE</v>
      </c>
      <c r="E172" s="1" t="str">
        <v>GROCERIES</v>
      </c>
      <c r="F172" s="4" t="n">
        <v>600</v>
      </c>
      <c r="G172" s="1" t="str">
        <v>USD</v>
      </c>
    </row>
    <row r="173" ht="23" customHeight="1">
      <c r="A173" s="1" t="str">
        <v>T0172</v>
      </c>
      <c r="B173" s="1" t="str">
        <v>U043</v>
      </c>
      <c r="C173" s="5" t="n">
        <v>46299</v>
      </c>
      <c r="D173" s="1" t="str">
        <v>EXPENSE</v>
      </c>
      <c r="E173" s="1" t="str">
        <v>UTILITIES</v>
      </c>
      <c r="F173" s="4" t="n">
        <v>300</v>
      </c>
      <c r="G173" s="1" t="str">
        <v>USD</v>
      </c>
    </row>
    <row r="174" ht="23" customHeight="1">
      <c r="A174" s="1" t="str">
        <v>T0173</v>
      </c>
      <c r="B174" s="1" t="str">
        <v>U044</v>
      </c>
      <c r="C174" s="5" t="n">
        <v>46296</v>
      </c>
      <c r="D174" s="1" t="str">
        <v>INCOME</v>
      </c>
      <c r="E174" s="1" t="str">
        <v>SALARY</v>
      </c>
      <c r="F174" s="4" t="n">
        <v>5440</v>
      </c>
      <c r="G174" s="1" t="str">
        <v>USD</v>
      </c>
    </row>
    <row r="175" ht="23" customHeight="1">
      <c r="A175" s="1" t="str">
        <v>T0174</v>
      </c>
      <c r="B175" s="1" t="str">
        <v>U044</v>
      </c>
      <c r="C175" s="5" t="n">
        <v>46297</v>
      </c>
      <c r="D175" s="1" t="str">
        <v>EXPENSE</v>
      </c>
      <c r="E175" s="1" t="str">
        <v>HOUSING</v>
      </c>
      <c r="F175" s="4" t="n">
        <v>1800</v>
      </c>
      <c r="G175" s="1" t="str">
        <v>USD</v>
      </c>
    </row>
    <row r="176" ht="23" customHeight="1">
      <c r="A176" s="1" t="str">
        <v>T0175</v>
      </c>
      <c r="B176" s="1" t="str">
        <v>U044</v>
      </c>
      <c r="C176" s="5" t="n">
        <v>46298</v>
      </c>
      <c r="D176" s="1" t="str">
        <v>EXPENSE</v>
      </c>
      <c r="E176" s="1" t="str">
        <v>GROCERIES</v>
      </c>
      <c r="F176" s="4" t="n">
        <v>600</v>
      </c>
      <c r="G176" s="1" t="str">
        <v>USD</v>
      </c>
    </row>
    <row r="177" ht="23" customHeight="1">
      <c r="A177" s="1" t="str">
        <v>T0176</v>
      </c>
      <c r="B177" s="1" t="str">
        <v>U044</v>
      </c>
      <c r="C177" s="5" t="n">
        <v>46299</v>
      </c>
      <c r="D177" s="1" t="str">
        <v>EXPENSE</v>
      </c>
      <c r="E177" s="1" t="str">
        <v>UTILITIES</v>
      </c>
      <c r="F177" s="4" t="n">
        <v>300</v>
      </c>
      <c r="G177" s="1" t="str">
        <v>USD</v>
      </c>
    </row>
    <row r="178" ht="23" customHeight="1">
      <c r="A178" s="1" t="str">
        <v>T0177</v>
      </c>
      <c r="B178" s="1" t="str">
        <v>U045</v>
      </c>
      <c r="C178" s="5" t="n">
        <v>46296</v>
      </c>
      <c r="D178" s="1" t="str">
        <v>INCOME</v>
      </c>
      <c r="E178" s="1" t="str">
        <v>SALARY</v>
      </c>
      <c r="F178" s="4" t="n">
        <v>5450</v>
      </c>
      <c r="G178" s="1" t="str">
        <v>USD</v>
      </c>
    </row>
    <row r="179" ht="23" customHeight="1">
      <c r="A179" s="1" t="str">
        <v>T0178</v>
      </c>
      <c r="B179" s="1" t="str">
        <v>U045</v>
      </c>
      <c r="C179" s="5" t="n">
        <v>46297</v>
      </c>
      <c r="D179" s="1" t="str">
        <v>EXPENSE</v>
      </c>
      <c r="E179" s="1" t="str">
        <v>HOUSING</v>
      </c>
      <c r="F179" s="4" t="n">
        <v>1800</v>
      </c>
      <c r="G179" s="1" t="str">
        <v>USD</v>
      </c>
    </row>
    <row r="180" ht="23" customHeight="1">
      <c r="A180" s="1" t="str">
        <v>T0179</v>
      </c>
      <c r="B180" s="1" t="str">
        <v>U045</v>
      </c>
      <c r="C180" s="5" t="n">
        <v>46298</v>
      </c>
      <c r="D180" s="1" t="str">
        <v>EXPENSE</v>
      </c>
      <c r="E180" s="1" t="str">
        <v>GROCERIES</v>
      </c>
      <c r="F180" s="4" t="n">
        <v>600</v>
      </c>
      <c r="G180" s="1" t="str">
        <v>USD</v>
      </c>
    </row>
    <row r="181" ht="23" customHeight="1">
      <c r="A181" s="1" t="str">
        <v>T0180</v>
      </c>
      <c r="B181" s="1" t="str">
        <v>U045</v>
      </c>
      <c r="C181" s="5" t="n">
        <v>46299</v>
      </c>
      <c r="D181" s="1" t="str">
        <v>EXPENSE</v>
      </c>
      <c r="E181" s="1" t="str">
        <v>UTILITIES</v>
      </c>
      <c r="F181" s="4" t="n">
        <v>300</v>
      </c>
      <c r="G181" s="1" t="str">
        <v>USD</v>
      </c>
    </row>
    <row r="182" ht="23" customHeight="1">
      <c r="A182" s="1" t="str">
        <v>T0181</v>
      </c>
      <c r="B182" s="1" t="str">
        <v>U046</v>
      </c>
      <c r="C182" s="5" t="n">
        <v>46296</v>
      </c>
      <c r="D182" s="1" t="str">
        <v>INCOME</v>
      </c>
      <c r="E182" s="1" t="str">
        <v>SALARY</v>
      </c>
      <c r="F182" s="4" t="n">
        <v>5460</v>
      </c>
      <c r="G182" s="1" t="str">
        <v>USD</v>
      </c>
    </row>
    <row r="183" ht="23" customHeight="1">
      <c r="A183" s="1" t="str">
        <v>T0182</v>
      </c>
      <c r="B183" s="1" t="str">
        <v>U046</v>
      </c>
      <c r="C183" s="5" t="n">
        <v>46297</v>
      </c>
      <c r="D183" s="1" t="str">
        <v>EXPENSE</v>
      </c>
      <c r="E183" s="1" t="str">
        <v>HOUSING</v>
      </c>
      <c r="F183" s="4" t="n">
        <v>1800</v>
      </c>
      <c r="G183" s="1" t="str">
        <v>USD</v>
      </c>
    </row>
    <row r="184" ht="23" customHeight="1">
      <c r="A184" s="1" t="str">
        <v>T0183</v>
      </c>
      <c r="B184" s="1" t="str">
        <v>U046</v>
      </c>
      <c r="C184" s="5" t="n">
        <v>46298</v>
      </c>
      <c r="D184" s="1" t="str">
        <v>EXPENSE</v>
      </c>
      <c r="E184" s="1" t="str">
        <v>GROCERIES</v>
      </c>
      <c r="F184" s="4" t="n">
        <v>600</v>
      </c>
      <c r="G184" s="1" t="str">
        <v>USD</v>
      </c>
    </row>
    <row r="185" ht="23" customHeight="1">
      <c r="A185" s="1" t="str">
        <v>T0184</v>
      </c>
      <c r="B185" s="1" t="str">
        <v>U046</v>
      </c>
      <c r="C185" s="5" t="n">
        <v>46299</v>
      </c>
      <c r="D185" s="1" t="str">
        <v>EXPENSE</v>
      </c>
      <c r="E185" s="1" t="str">
        <v>UTILITIES</v>
      </c>
      <c r="F185" s="4" t="n">
        <v>300</v>
      </c>
      <c r="G185" s="1" t="str">
        <v>USD</v>
      </c>
    </row>
    <row r="186" ht="23" customHeight="1">
      <c r="A186" s="1" t="str">
        <v>T0185</v>
      </c>
      <c r="B186" s="1" t="str">
        <v>U047</v>
      </c>
      <c r="C186" s="5" t="n">
        <v>46296</v>
      </c>
      <c r="D186" s="1" t="str">
        <v>INCOME</v>
      </c>
      <c r="E186" s="1" t="str">
        <v>SALARY</v>
      </c>
      <c r="F186" s="4" t="n">
        <v>5470</v>
      </c>
      <c r="G186" s="1" t="str">
        <v>USD</v>
      </c>
    </row>
    <row r="187" ht="23" customHeight="1">
      <c r="A187" s="1" t="str">
        <v>T0186</v>
      </c>
      <c r="B187" s="1" t="str">
        <v>U047</v>
      </c>
      <c r="C187" s="5" t="n">
        <v>46297</v>
      </c>
      <c r="D187" s="1" t="str">
        <v>EXPENSE</v>
      </c>
      <c r="E187" s="1" t="str">
        <v>HOUSING</v>
      </c>
      <c r="F187" s="4" t="n">
        <v>1800</v>
      </c>
      <c r="G187" s="1" t="str">
        <v>USD</v>
      </c>
    </row>
    <row r="188" ht="23" customHeight="1">
      <c r="A188" s="1" t="str">
        <v>T0187</v>
      </c>
      <c r="B188" s="1" t="str">
        <v>U047</v>
      </c>
      <c r="C188" s="5" t="n">
        <v>46298</v>
      </c>
      <c r="D188" s="1" t="str">
        <v>EXPENSE</v>
      </c>
      <c r="E188" s="1" t="str">
        <v>GROCERIES</v>
      </c>
      <c r="F188" s="4" t="n">
        <v>600</v>
      </c>
      <c r="G188" s="1" t="str">
        <v>USD</v>
      </c>
    </row>
    <row r="189" ht="23" customHeight="1">
      <c r="A189" s="1" t="str">
        <v>T0188</v>
      </c>
      <c r="B189" s="1" t="str">
        <v>U047</v>
      </c>
      <c r="C189" s="5" t="n">
        <v>46299</v>
      </c>
      <c r="D189" s="1" t="str">
        <v>EXPENSE</v>
      </c>
      <c r="E189" s="1" t="str">
        <v>UTILITIES</v>
      </c>
      <c r="F189" s="4" t="n">
        <v>300</v>
      </c>
      <c r="G189" s="1" t="str">
        <v>USD</v>
      </c>
    </row>
    <row r="190" ht="23" customHeight="1">
      <c r="A190" s="1" t="str">
        <v>T0189</v>
      </c>
      <c r="B190" s="1" t="str">
        <v>U048</v>
      </c>
      <c r="C190" s="5" t="n">
        <v>46296</v>
      </c>
      <c r="D190" s="1" t="str">
        <v>INCOME</v>
      </c>
      <c r="E190" s="1" t="str">
        <v>SALARY</v>
      </c>
      <c r="F190" s="4" t="n">
        <v>5480</v>
      </c>
      <c r="G190" s="1" t="str">
        <v>USD</v>
      </c>
    </row>
    <row r="191" ht="23" customHeight="1">
      <c r="A191" s="1" t="str">
        <v>T0190</v>
      </c>
      <c r="B191" s="1" t="str">
        <v>U048</v>
      </c>
      <c r="C191" s="5" t="n">
        <v>46297</v>
      </c>
      <c r="D191" s="1" t="str">
        <v>EXPENSE</v>
      </c>
      <c r="E191" s="1" t="str">
        <v>HOUSING</v>
      </c>
      <c r="F191" s="4" t="n">
        <v>1800</v>
      </c>
      <c r="G191" s="1" t="str">
        <v>USD</v>
      </c>
    </row>
    <row r="192" ht="23" customHeight="1">
      <c r="A192" s="1" t="str">
        <v>T0191</v>
      </c>
      <c r="B192" s="1" t="str">
        <v>U048</v>
      </c>
      <c r="C192" s="5" t="n">
        <v>46298</v>
      </c>
      <c r="D192" s="1" t="str">
        <v>EXPENSE</v>
      </c>
      <c r="E192" s="1" t="str">
        <v>GROCERIES</v>
      </c>
      <c r="F192" s="4" t="n">
        <v>600</v>
      </c>
      <c r="G192" s="1" t="str">
        <v>USD</v>
      </c>
    </row>
    <row r="193" ht="23" customHeight="1">
      <c r="A193" s="1" t="str">
        <v>T0192</v>
      </c>
      <c r="B193" s="1" t="str">
        <v>U048</v>
      </c>
      <c r="C193" s="5" t="n">
        <v>46299</v>
      </c>
      <c r="D193" s="1" t="str">
        <v>EXPENSE</v>
      </c>
      <c r="E193" s="1" t="str">
        <v>UTILITIES</v>
      </c>
      <c r="F193" s="4" t="n">
        <v>300</v>
      </c>
      <c r="G193" s="1" t="str">
        <v>USD</v>
      </c>
    </row>
    <row r="194" ht="23" customHeight="1">
      <c r="A194" s="1" t="str">
        <v>T0193</v>
      </c>
      <c r="B194" s="1" t="str">
        <v>U049</v>
      </c>
      <c r="C194" s="5" t="n">
        <v>46296</v>
      </c>
      <c r="D194" s="1" t="str">
        <v>INCOME</v>
      </c>
      <c r="E194" s="1" t="str">
        <v>SALARY</v>
      </c>
      <c r="F194" s="4" t="n">
        <v>5490</v>
      </c>
      <c r="G194" s="1" t="str">
        <v>USD</v>
      </c>
    </row>
    <row r="195" ht="23" customHeight="1">
      <c r="A195" s="1" t="str">
        <v>T0194</v>
      </c>
      <c r="B195" s="1" t="str">
        <v>U049</v>
      </c>
      <c r="C195" s="5" t="n">
        <v>46297</v>
      </c>
      <c r="D195" s="1" t="str">
        <v>EXPENSE</v>
      </c>
      <c r="E195" s="1" t="str">
        <v>HOUSING</v>
      </c>
      <c r="F195" s="4" t="n">
        <v>1800</v>
      </c>
      <c r="G195" s="1" t="str">
        <v>USD</v>
      </c>
    </row>
    <row r="196" ht="23" customHeight="1">
      <c r="A196" s="1" t="str">
        <v>T0195</v>
      </c>
      <c r="B196" s="1" t="str">
        <v>U049</v>
      </c>
      <c r="C196" s="5" t="n">
        <v>46298</v>
      </c>
      <c r="D196" s="1" t="str">
        <v>EXPENSE</v>
      </c>
      <c r="E196" s="1" t="str">
        <v>GROCERIES</v>
      </c>
      <c r="F196" s="4" t="n">
        <v>600</v>
      </c>
      <c r="G196" s="1" t="str">
        <v>USD</v>
      </c>
    </row>
    <row r="197" ht="23" customHeight="1">
      <c r="A197" s="1" t="str">
        <v>T0196</v>
      </c>
      <c r="B197" s="1" t="str">
        <v>U049</v>
      </c>
      <c r="C197" s="5" t="n">
        <v>46299</v>
      </c>
      <c r="D197" s="1" t="str">
        <v>EXPENSE</v>
      </c>
      <c r="E197" s="1" t="str">
        <v>UTILITIES</v>
      </c>
      <c r="F197" s="4" t="n">
        <v>300</v>
      </c>
      <c r="G197" s="1" t="str">
        <v>USD</v>
      </c>
    </row>
    <row r="198" ht="23" customHeight="1">
      <c r="A198" s="1" t="str">
        <v>T0197</v>
      </c>
      <c r="B198" s="1" t="str">
        <v>U050</v>
      </c>
      <c r="C198" s="5" t="n">
        <v>46296</v>
      </c>
      <c r="D198" s="1" t="str">
        <v>INCOME</v>
      </c>
      <c r="E198" s="1" t="str">
        <v>SALARY</v>
      </c>
      <c r="F198" s="4" t="n">
        <v>5500</v>
      </c>
      <c r="G198" s="1" t="str">
        <v>USD</v>
      </c>
    </row>
    <row r="199" ht="23" customHeight="1">
      <c r="A199" s="1" t="str">
        <v>T0198</v>
      </c>
      <c r="B199" s="1" t="str">
        <v>U050</v>
      </c>
      <c r="C199" s="5" t="n">
        <v>46297</v>
      </c>
      <c r="D199" s="1" t="str">
        <v>EXPENSE</v>
      </c>
      <c r="E199" s="1" t="str">
        <v>HOUSING</v>
      </c>
      <c r="F199" s="4" t="n">
        <v>1800</v>
      </c>
      <c r="G199" s="1" t="str">
        <v>USD</v>
      </c>
    </row>
    <row r="200" ht="23" customHeight="1">
      <c r="A200" s="1" t="str">
        <v>T0199</v>
      </c>
      <c r="B200" s="1" t="str">
        <v>U050</v>
      </c>
      <c r="C200" s="5" t="n">
        <v>46298</v>
      </c>
      <c r="D200" s="1" t="str">
        <v>EXPENSE</v>
      </c>
      <c r="E200" s="1" t="str">
        <v>GROCERIES</v>
      </c>
      <c r="F200" s="4" t="n">
        <v>600</v>
      </c>
      <c r="G200" s="1" t="str">
        <v>USD</v>
      </c>
    </row>
    <row r="201" ht="23" customHeight="1">
      <c r="A201" s="1" t="str">
        <v>T0200</v>
      </c>
      <c r="B201" s="1" t="str">
        <v>U050</v>
      </c>
      <c r="C201" s="5" t="n">
        <v>46299</v>
      </c>
      <c r="D201" s="1" t="str">
        <v>EXPENSE</v>
      </c>
      <c r="E201" s="1" t="str">
        <v>UTILITIES</v>
      </c>
      <c r="F201" s="4" t="n">
        <v>300</v>
      </c>
      <c r="G201" s="1" t="str">
        <v>USD</v>
      </c>
    </row>
    <row r="202" ht="23" customHeight="1">
      <c r="A202" s="1" t="str">
        <v>T0201</v>
      </c>
      <c r="B202" s="1" t="str">
        <v>U051</v>
      </c>
      <c r="C202" s="5" t="n">
        <v>46296</v>
      </c>
      <c r="D202" s="1" t="str">
        <v>INCOME</v>
      </c>
      <c r="E202" s="1" t="str">
        <v>SALARY</v>
      </c>
      <c r="F202" s="4" t="n">
        <v>5510</v>
      </c>
      <c r="G202" s="1" t="str">
        <v>USD</v>
      </c>
    </row>
    <row r="203" ht="23" customHeight="1">
      <c r="A203" s="1" t="str">
        <v>T0202</v>
      </c>
      <c r="B203" s="1" t="str">
        <v>U051</v>
      </c>
      <c r="C203" s="5" t="n">
        <v>46297</v>
      </c>
      <c r="D203" s="1" t="str">
        <v>EXPENSE</v>
      </c>
      <c r="E203" s="1" t="str">
        <v>HOUSING</v>
      </c>
      <c r="F203" s="4" t="n">
        <v>1800</v>
      </c>
      <c r="G203" s="1" t="str">
        <v>USD</v>
      </c>
    </row>
    <row r="204" ht="23" customHeight="1">
      <c r="A204" s="1" t="str">
        <v>T0203</v>
      </c>
      <c r="B204" s="1" t="str">
        <v>U051</v>
      </c>
      <c r="C204" s="5" t="n">
        <v>46298</v>
      </c>
      <c r="D204" s="1" t="str">
        <v>EXPENSE</v>
      </c>
      <c r="E204" s="1" t="str">
        <v>GROCERIES</v>
      </c>
      <c r="F204" s="4" t="n">
        <v>600</v>
      </c>
      <c r="G204" s="1" t="str">
        <v>USD</v>
      </c>
    </row>
    <row r="205" ht="23" customHeight="1">
      <c r="A205" s="1" t="str">
        <v>T0204</v>
      </c>
      <c r="B205" s="1" t="str">
        <v>U051</v>
      </c>
      <c r="C205" s="5" t="n">
        <v>46299</v>
      </c>
      <c r="D205" s="1" t="str">
        <v>EXPENSE</v>
      </c>
      <c r="E205" s="1" t="str">
        <v>UTILITIES</v>
      </c>
      <c r="F205" s="4" t="n">
        <v>300</v>
      </c>
      <c r="G205" s="1" t="str">
        <v>USD</v>
      </c>
    </row>
    <row r="206" ht="23" customHeight="1">
      <c r="A206" s="1" t="str">
        <v>T0205</v>
      </c>
      <c r="B206" s="1" t="str">
        <v>U052</v>
      </c>
      <c r="C206" s="5" t="n">
        <v>46296</v>
      </c>
      <c r="D206" s="1" t="str">
        <v>INCOME</v>
      </c>
      <c r="E206" s="1" t="str">
        <v>SALARY</v>
      </c>
      <c r="F206" s="4" t="n">
        <v>5520</v>
      </c>
      <c r="G206" s="1" t="str">
        <v>USD</v>
      </c>
    </row>
    <row r="207" ht="23" customHeight="1">
      <c r="A207" s="1" t="str">
        <v>T0206</v>
      </c>
      <c r="B207" s="1" t="str">
        <v>U052</v>
      </c>
      <c r="C207" s="5" t="n">
        <v>46297</v>
      </c>
      <c r="D207" s="1" t="str">
        <v>EXPENSE</v>
      </c>
      <c r="E207" s="1" t="str">
        <v>HOUSING</v>
      </c>
      <c r="F207" s="4" t="n">
        <v>1800</v>
      </c>
      <c r="G207" s="1" t="str">
        <v>USD</v>
      </c>
    </row>
    <row r="208" ht="23" customHeight="1">
      <c r="A208" s="1" t="str">
        <v>T0207</v>
      </c>
      <c r="B208" s="1" t="str">
        <v>U052</v>
      </c>
      <c r="C208" s="5" t="n">
        <v>46298</v>
      </c>
      <c r="D208" s="1" t="str">
        <v>EXPENSE</v>
      </c>
      <c r="E208" s="1" t="str">
        <v>GROCERIES</v>
      </c>
      <c r="F208" s="4" t="n">
        <v>600</v>
      </c>
      <c r="G208" s="1" t="str">
        <v>USD</v>
      </c>
    </row>
    <row r="209" ht="23" customHeight="1">
      <c r="A209" s="1" t="str">
        <v>T0208</v>
      </c>
      <c r="B209" s="1" t="str">
        <v>U052</v>
      </c>
      <c r="C209" s="5" t="n">
        <v>46299</v>
      </c>
      <c r="D209" s="1" t="str">
        <v>EXPENSE</v>
      </c>
      <c r="E209" s="1" t="str">
        <v>UTILITIES</v>
      </c>
      <c r="F209" s="4" t="n">
        <v>300</v>
      </c>
      <c r="G209" s="1" t="str">
        <v>USD</v>
      </c>
    </row>
    <row r="210" ht="23" customHeight="1">
      <c r="A210" s="1" t="str">
        <v>T0209</v>
      </c>
      <c r="B210" s="1" t="str">
        <v>U053</v>
      </c>
      <c r="C210" s="5" t="n">
        <v>46296</v>
      </c>
      <c r="D210" s="1" t="str">
        <v>INCOME</v>
      </c>
      <c r="E210" s="1" t="str">
        <v>SALARY</v>
      </c>
      <c r="F210" s="4" t="n">
        <v>5530</v>
      </c>
      <c r="G210" s="1" t="str">
        <v>USD</v>
      </c>
    </row>
    <row r="211" ht="23" customHeight="1">
      <c r="A211" s="1" t="str">
        <v>T0210</v>
      </c>
      <c r="B211" s="1" t="str">
        <v>U053</v>
      </c>
      <c r="C211" s="5" t="n">
        <v>46297</v>
      </c>
      <c r="D211" s="1" t="str">
        <v>EXPENSE</v>
      </c>
      <c r="E211" s="1" t="str">
        <v>HOUSING</v>
      </c>
      <c r="F211" s="4" t="n">
        <v>1800</v>
      </c>
      <c r="G211" s="1" t="str">
        <v>USD</v>
      </c>
    </row>
    <row r="212" ht="23" customHeight="1">
      <c r="A212" s="1" t="str">
        <v>T0211</v>
      </c>
      <c r="B212" s="1" t="str">
        <v>U053</v>
      </c>
      <c r="C212" s="5" t="n">
        <v>46298</v>
      </c>
      <c r="D212" s="1" t="str">
        <v>EXPENSE</v>
      </c>
      <c r="E212" s="1" t="str">
        <v>GROCERIES</v>
      </c>
      <c r="F212" s="4" t="n">
        <v>600</v>
      </c>
      <c r="G212" s="1" t="str">
        <v>USD</v>
      </c>
    </row>
    <row r="213" ht="23" customHeight="1">
      <c r="A213" s="1" t="str">
        <v>T0212</v>
      </c>
      <c r="B213" s="1" t="str">
        <v>U053</v>
      </c>
      <c r="C213" s="5" t="n">
        <v>46299</v>
      </c>
      <c r="D213" s="1" t="str">
        <v>EXPENSE</v>
      </c>
      <c r="E213" s="1" t="str">
        <v>UTILITIES</v>
      </c>
      <c r="F213" s="4" t="n">
        <v>300</v>
      </c>
      <c r="G213" s="1" t="str">
        <v>USD</v>
      </c>
    </row>
    <row r="214" ht="23" customHeight="1">
      <c r="A214" s="1" t="str">
        <v>T0213</v>
      </c>
      <c r="B214" s="1" t="str">
        <v>U054</v>
      </c>
      <c r="C214" s="5" t="n">
        <v>46296</v>
      </c>
      <c r="D214" s="1" t="str">
        <v>INCOME</v>
      </c>
      <c r="E214" s="1" t="str">
        <v>SALARY</v>
      </c>
      <c r="F214" s="4" t="n">
        <v>5540</v>
      </c>
      <c r="G214" s="1" t="str">
        <v>USD</v>
      </c>
    </row>
    <row r="215" ht="23" customHeight="1">
      <c r="A215" s="1" t="str">
        <v>T0214</v>
      </c>
      <c r="B215" s="1" t="str">
        <v>U054</v>
      </c>
      <c r="C215" s="5" t="n">
        <v>46297</v>
      </c>
      <c r="D215" s="1" t="str">
        <v>EXPENSE</v>
      </c>
      <c r="E215" s="1" t="str">
        <v>HOUSING</v>
      </c>
      <c r="F215" s="4" t="n">
        <v>1800</v>
      </c>
      <c r="G215" s="1" t="str">
        <v>USD</v>
      </c>
    </row>
    <row r="216" ht="23" customHeight="1">
      <c r="A216" s="1" t="str">
        <v>T0215</v>
      </c>
      <c r="B216" s="1" t="str">
        <v>U054</v>
      </c>
      <c r="C216" s="5" t="n">
        <v>46298</v>
      </c>
      <c r="D216" s="1" t="str">
        <v>EXPENSE</v>
      </c>
      <c r="E216" s="1" t="str">
        <v>GROCERIES</v>
      </c>
      <c r="F216" s="4" t="n">
        <v>600</v>
      </c>
      <c r="G216" s="1" t="str">
        <v>USD</v>
      </c>
    </row>
    <row r="217" ht="23" customHeight="1">
      <c r="A217" s="1" t="str">
        <v>T0216</v>
      </c>
      <c r="B217" s="1" t="str">
        <v>U054</v>
      </c>
      <c r="C217" s="5" t="n">
        <v>46299</v>
      </c>
      <c r="D217" s="1" t="str">
        <v>EXPENSE</v>
      </c>
      <c r="E217" s="1" t="str">
        <v>UTILITIES</v>
      </c>
      <c r="F217" s="4" t="n">
        <v>300</v>
      </c>
      <c r="G217" s="1" t="str">
        <v>USD</v>
      </c>
    </row>
    <row r="218" ht="23" customHeight="1">
      <c r="A218" s="1" t="str">
        <v>T0217</v>
      </c>
      <c r="B218" s="1" t="str">
        <v>U055</v>
      </c>
      <c r="C218" s="5" t="n">
        <v>46296</v>
      </c>
      <c r="D218" s="1" t="str">
        <v>INCOME</v>
      </c>
      <c r="E218" s="1" t="str">
        <v>SALARY</v>
      </c>
      <c r="F218" s="4" t="n">
        <v>5550</v>
      </c>
      <c r="G218" s="1" t="str">
        <v>USD</v>
      </c>
    </row>
    <row r="219" ht="23" customHeight="1">
      <c r="A219" s="1" t="str">
        <v>T0218</v>
      </c>
      <c r="B219" s="1" t="str">
        <v>U055</v>
      </c>
      <c r="C219" s="5" t="n">
        <v>46297</v>
      </c>
      <c r="D219" s="1" t="str">
        <v>EXPENSE</v>
      </c>
      <c r="E219" s="1" t="str">
        <v>HOUSING</v>
      </c>
      <c r="F219" s="4" t="n">
        <v>1800</v>
      </c>
      <c r="G219" s="1" t="str">
        <v>USD</v>
      </c>
    </row>
    <row r="220" ht="23" customHeight="1">
      <c r="A220" s="1" t="str">
        <v>T0219</v>
      </c>
      <c r="B220" s="1" t="str">
        <v>U055</v>
      </c>
      <c r="C220" s="5" t="n">
        <v>46298</v>
      </c>
      <c r="D220" s="1" t="str">
        <v>EXPENSE</v>
      </c>
      <c r="E220" s="1" t="str">
        <v>GROCERIES</v>
      </c>
      <c r="F220" s="4" t="n">
        <v>600</v>
      </c>
      <c r="G220" s="1" t="str">
        <v>USD</v>
      </c>
    </row>
    <row r="221" ht="23" customHeight="1">
      <c r="A221" s="1" t="str">
        <v>T0220</v>
      </c>
      <c r="B221" s="1" t="str">
        <v>U055</v>
      </c>
      <c r="C221" s="5" t="n">
        <v>46299</v>
      </c>
      <c r="D221" s="1" t="str">
        <v>EXPENSE</v>
      </c>
      <c r="E221" s="1" t="str">
        <v>UTILITIES</v>
      </c>
      <c r="F221" s="4" t="n">
        <v>300</v>
      </c>
      <c r="G221" s="1" t="str">
        <v>USD</v>
      </c>
    </row>
    <row r="222" ht="23" customHeight="1">
      <c r="A222" s="1" t="str">
        <v>T0221</v>
      </c>
      <c r="B222" s="1" t="str">
        <v>U056</v>
      </c>
      <c r="C222" s="5" t="n">
        <v>46296</v>
      </c>
      <c r="D222" s="1" t="str">
        <v>INCOME</v>
      </c>
      <c r="E222" s="1" t="str">
        <v>SALARY</v>
      </c>
      <c r="F222" s="4" t="n">
        <v>5560</v>
      </c>
      <c r="G222" s="1" t="str">
        <v>USD</v>
      </c>
    </row>
    <row r="223" ht="23" customHeight="1">
      <c r="A223" s="1" t="str">
        <v>T0222</v>
      </c>
      <c r="B223" s="1" t="str">
        <v>U056</v>
      </c>
      <c r="C223" s="5" t="n">
        <v>46297</v>
      </c>
      <c r="D223" s="1" t="str">
        <v>EXPENSE</v>
      </c>
      <c r="E223" s="1" t="str">
        <v>HOUSING</v>
      </c>
      <c r="F223" s="4" t="n">
        <v>1800</v>
      </c>
      <c r="G223" s="1" t="str">
        <v>USD</v>
      </c>
    </row>
    <row r="224" ht="23" customHeight="1">
      <c r="A224" s="1" t="str">
        <v>T0223</v>
      </c>
      <c r="B224" s="1" t="str">
        <v>U056</v>
      </c>
      <c r="C224" s="5" t="n">
        <v>46298</v>
      </c>
      <c r="D224" s="1" t="str">
        <v>EXPENSE</v>
      </c>
      <c r="E224" s="1" t="str">
        <v>GROCERIES</v>
      </c>
      <c r="F224" s="4" t="n">
        <v>600</v>
      </c>
      <c r="G224" s="1" t="str">
        <v>USD</v>
      </c>
    </row>
    <row r="225" ht="23" customHeight="1">
      <c r="A225" s="1" t="str">
        <v>T0224</v>
      </c>
      <c r="B225" s="1" t="str">
        <v>U056</v>
      </c>
      <c r="C225" s="5" t="n">
        <v>46299</v>
      </c>
      <c r="D225" s="1" t="str">
        <v>EXPENSE</v>
      </c>
      <c r="E225" s="1" t="str">
        <v>UTILITIES</v>
      </c>
      <c r="F225" s="4" t="n">
        <v>300</v>
      </c>
      <c r="G225" s="1" t="str">
        <v>USD</v>
      </c>
    </row>
    <row r="226" ht="23" customHeight="1">
      <c r="A226" s="1" t="str">
        <v>T0225</v>
      </c>
      <c r="B226" s="1" t="str">
        <v>U057</v>
      </c>
      <c r="C226" s="5" t="n">
        <v>46296</v>
      </c>
      <c r="D226" s="1" t="str">
        <v>INCOME</v>
      </c>
      <c r="E226" s="1" t="str">
        <v>SALARY</v>
      </c>
      <c r="F226" s="4" t="n">
        <v>5570</v>
      </c>
      <c r="G226" s="1" t="str">
        <v>USD</v>
      </c>
    </row>
    <row r="227" ht="23" customHeight="1">
      <c r="A227" s="1" t="str">
        <v>T0226</v>
      </c>
      <c r="B227" s="1" t="str">
        <v>U057</v>
      </c>
      <c r="C227" s="5" t="n">
        <v>46297</v>
      </c>
      <c r="D227" s="1" t="str">
        <v>EXPENSE</v>
      </c>
      <c r="E227" s="1" t="str">
        <v>HOUSING</v>
      </c>
      <c r="F227" s="4" t="n">
        <v>1800</v>
      </c>
      <c r="G227" s="1" t="str">
        <v>USD</v>
      </c>
    </row>
    <row r="228" ht="23" customHeight="1">
      <c r="A228" s="1" t="str">
        <v>T0227</v>
      </c>
      <c r="B228" s="1" t="str">
        <v>U057</v>
      </c>
      <c r="C228" s="5" t="n">
        <v>46298</v>
      </c>
      <c r="D228" s="1" t="str">
        <v>EXPENSE</v>
      </c>
      <c r="E228" s="1" t="str">
        <v>GROCERIES</v>
      </c>
      <c r="F228" s="4" t="n">
        <v>600</v>
      </c>
      <c r="G228" s="1" t="str">
        <v>USD</v>
      </c>
    </row>
    <row r="229" ht="23" customHeight="1">
      <c r="A229" s="1" t="str">
        <v>T0228</v>
      </c>
      <c r="B229" s="1" t="str">
        <v>U057</v>
      </c>
      <c r="C229" s="5" t="n">
        <v>46299</v>
      </c>
      <c r="D229" s="1" t="str">
        <v>EXPENSE</v>
      </c>
      <c r="E229" s="1" t="str">
        <v>UTILITIES</v>
      </c>
      <c r="F229" s="4" t="n">
        <v>300</v>
      </c>
      <c r="G229" s="1" t="str">
        <v>USD</v>
      </c>
    </row>
    <row r="230" ht="23" customHeight="1">
      <c r="A230" s="1" t="str">
        <v>T0229</v>
      </c>
      <c r="B230" s="1" t="str">
        <v>U058</v>
      </c>
      <c r="C230" s="5" t="n">
        <v>46296</v>
      </c>
      <c r="D230" s="1" t="str">
        <v>INCOME</v>
      </c>
      <c r="E230" s="1" t="str">
        <v>SALARY</v>
      </c>
      <c r="F230" s="4" t="n">
        <v>5580</v>
      </c>
      <c r="G230" s="1" t="str">
        <v>USD</v>
      </c>
    </row>
    <row r="231" ht="23" customHeight="1">
      <c r="A231" s="1" t="str">
        <v>T0230</v>
      </c>
      <c r="B231" s="1" t="str">
        <v>U058</v>
      </c>
      <c r="C231" s="5" t="n">
        <v>46297</v>
      </c>
      <c r="D231" s="1" t="str">
        <v>EXPENSE</v>
      </c>
      <c r="E231" s="1" t="str">
        <v>HOUSING</v>
      </c>
      <c r="F231" s="4" t="n">
        <v>1800</v>
      </c>
      <c r="G231" s="1" t="str">
        <v>USD</v>
      </c>
    </row>
    <row r="232" ht="23" customHeight="1">
      <c r="A232" s="1" t="str">
        <v>T0231</v>
      </c>
      <c r="B232" s="1" t="str">
        <v>U058</v>
      </c>
      <c r="C232" s="5" t="n">
        <v>46298</v>
      </c>
      <c r="D232" s="1" t="str">
        <v>EXPENSE</v>
      </c>
      <c r="E232" s="1" t="str">
        <v>GROCERIES</v>
      </c>
      <c r="F232" s="4" t="n">
        <v>600</v>
      </c>
      <c r="G232" s="1" t="str">
        <v>USD</v>
      </c>
    </row>
    <row r="233" ht="23" customHeight="1">
      <c r="A233" s="1" t="str">
        <v>T0232</v>
      </c>
      <c r="B233" s="1" t="str">
        <v>U058</v>
      </c>
      <c r="C233" s="5" t="n">
        <v>46299</v>
      </c>
      <c r="D233" s="1" t="str">
        <v>EXPENSE</v>
      </c>
      <c r="E233" s="1" t="str">
        <v>UTILITIES</v>
      </c>
      <c r="F233" s="4" t="n">
        <v>300</v>
      </c>
      <c r="G233" s="1" t="str">
        <v>USD</v>
      </c>
    </row>
    <row r="234" ht="23" customHeight="1">
      <c r="A234" s="1" t="str">
        <v>T0233</v>
      </c>
      <c r="B234" s="1" t="str">
        <v>U059</v>
      </c>
      <c r="C234" s="5" t="n">
        <v>46296</v>
      </c>
      <c r="D234" s="1" t="str">
        <v>INCOME</v>
      </c>
      <c r="E234" s="1" t="str">
        <v>SALARY</v>
      </c>
      <c r="F234" s="4" t="n">
        <v>5590</v>
      </c>
      <c r="G234" s="1" t="str">
        <v>USD</v>
      </c>
    </row>
    <row r="235" ht="23" customHeight="1">
      <c r="A235" s="1" t="str">
        <v>T0234</v>
      </c>
      <c r="B235" s="1" t="str">
        <v>U059</v>
      </c>
      <c r="C235" s="5" t="n">
        <v>46297</v>
      </c>
      <c r="D235" s="1" t="str">
        <v>EXPENSE</v>
      </c>
      <c r="E235" s="1" t="str">
        <v>HOUSING</v>
      </c>
      <c r="F235" s="4" t="n">
        <v>1800</v>
      </c>
      <c r="G235" s="1" t="str">
        <v>USD</v>
      </c>
    </row>
    <row r="236" ht="23" customHeight="1">
      <c r="A236" s="1" t="str">
        <v>T0235</v>
      </c>
      <c r="B236" s="1" t="str">
        <v>U059</v>
      </c>
      <c r="C236" s="5" t="n">
        <v>46298</v>
      </c>
      <c r="D236" s="1" t="str">
        <v>EXPENSE</v>
      </c>
      <c r="E236" s="1" t="str">
        <v>GROCERIES</v>
      </c>
      <c r="F236" s="4" t="n">
        <v>600</v>
      </c>
      <c r="G236" s="1" t="str">
        <v>USD</v>
      </c>
    </row>
    <row r="237" ht="23" customHeight="1">
      <c r="A237" s="1" t="str">
        <v>T0236</v>
      </c>
      <c r="B237" s="1" t="str">
        <v>U059</v>
      </c>
      <c r="C237" s="5" t="n">
        <v>46299</v>
      </c>
      <c r="D237" s="1" t="str">
        <v>EXPENSE</v>
      </c>
      <c r="E237" s="1" t="str">
        <v>UTILITIES</v>
      </c>
      <c r="F237" s="4" t="n">
        <v>300</v>
      </c>
      <c r="G237" s="1" t="str">
        <v>USD</v>
      </c>
    </row>
    <row r="238" ht="23" customHeight="1">
      <c r="A238" s="1" t="str">
        <v>T0237</v>
      </c>
      <c r="B238" s="1" t="str">
        <v>U060</v>
      </c>
      <c r="C238" s="5" t="n">
        <v>46296</v>
      </c>
      <c r="D238" s="1" t="str">
        <v>INCOME</v>
      </c>
      <c r="E238" s="1" t="str">
        <v>SALARY</v>
      </c>
      <c r="F238" s="4" t="n">
        <v>5600</v>
      </c>
      <c r="G238" s="1" t="str">
        <v>USD</v>
      </c>
    </row>
    <row r="239" ht="23" customHeight="1">
      <c r="A239" s="1" t="str">
        <v>T0238</v>
      </c>
      <c r="B239" s="1" t="str">
        <v>U060</v>
      </c>
      <c r="C239" s="5" t="n">
        <v>46297</v>
      </c>
      <c r="D239" s="1" t="str">
        <v>EXPENSE</v>
      </c>
      <c r="E239" s="1" t="str">
        <v>HOUSING</v>
      </c>
      <c r="F239" s="4" t="n">
        <v>1800</v>
      </c>
      <c r="G239" s="1" t="str">
        <v>USD</v>
      </c>
    </row>
    <row r="240" ht="23" customHeight="1">
      <c r="A240" s="1" t="str">
        <v>T0239</v>
      </c>
      <c r="B240" s="1" t="str">
        <v>U060</v>
      </c>
      <c r="C240" s="5" t="n">
        <v>46298</v>
      </c>
      <c r="D240" s="1" t="str">
        <v>EXPENSE</v>
      </c>
      <c r="E240" s="1" t="str">
        <v>GROCERIES</v>
      </c>
      <c r="F240" s="4" t="n">
        <v>600</v>
      </c>
      <c r="G240" s="1" t="str">
        <v>USD</v>
      </c>
    </row>
    <row r="241" ht="23" customHeight="1">
      <c r="A241" s="1" t="str">
        <v>T0240</v>
      </c>
      <c r="B241" s="1" t="str">
        <v>U060</v>
      </c>
      <c r="C241" s="5" t="n">
        <v>46299</v>
      </c>
      <c r="D241" s="1" t="str">
        <v>EXPENSE</v>
      </c>
      <c r="E241" s="1" t="str">
        <v>UTILITIES</v>
      </c>
      <c r="F241" s="4" t="n">
        <v>300</v>
      </c>
      <c r="G241" s="1" t="str">
        <v>USD</v>
      </c>
    </row>
    <row r="242" ht="23" customHeight="1">
      <c r="A242" s="1" t="str">
        <v>T0241</v>
      </c>
      <c r="B242" s="1" t="str">
        <v>U061</v>
      </c>
      <c r="C242" s="5" t="n">
        <v>46296</v>
      </c>
      <c r="D242" s="1" t="str">
        <v>INCOME</v>
      </c>
      <c r="E242" s="1" t="str">
        <v>SALARY</v>
      </c>
      <c r="F242" s="4" t="n">
        <v>5610</v>
      </c>
      <c r="G242" s="1" t="str">
        <v>USD</v>
      </c>
    </row>
    <row r="243" ht="23" customHeight="1">
      <c r="A243" s="1" t="str">
        <v>T0242</v>
      </c>
      <c r="B243" s="1" t="str">
        <v>U061</v>
      </c>
      <c r="C243" s="5" t="n">
        <v>46297</v>
      </c>
      <c r="D243" s="1" t="str">
        <v>EXPENSE</v>
      </c>
      <c r="E243" s="1" t="str">
        <v>HOUSING</v>
      </c>
      <c r="F243" s="4" t="n">
        <v>1800</v>
      </c>
      <c r="G243" s="1" t="str">
        <v>USD</v>
      </c>
    </row>
    <row r="244" ht="23" customHeight="1">
      <c r="A244" s="1" t="str">
        <v>T0243</v>
      </c>
      <c r="B244" s="1" t="str">
        <v>U061</v>
      </c>
      <c r="C244" s="5" t="n">
        <v>46298</v>
      </c>
      <c r="D244" s="1" t="str">
        <v>EXPENSE</v>
      </c>
      <c r="E244" s="1" t="str">
        <v>GROCERIES</v>
      </c>
      <c r="F244" s="4" t="n">
        <v>600</v>
      </c>
      <c r="G244" s="1" t="str">
        <v>USD</v>
      </c>
    </row>
    <row r="245" ht="23" customHeight="1">
      <c r="A245" s="1" t="str">
        <v>T0244</v>
      </c>
      <c r="B245" s="1" t="str">
        <v>U061</v>
      </c>
      <c r="C245" s="5" t="n">
        <v>46299</v>
      </c>
      <c r="D245" s="1" t="str">
        <v>EXPENSE</v>
      </c>
      <c r="E245" s="1" t="str">
        <v>UTILITIES</v>
      </c>
      <c r="F245" s="4" t="n">
        <v>300</v>
      </c>
      <c r="G245" s="1" t="str">
        <v>USD</v>
      </c>
    </row>
    <row r="246" ht="23" customHeight="1">
      <c r="A246" s="1" t="str">
        <v>T0245</v>
      </c>
      <c r="B246" s="1" t="str">
        <v>U062</v>
      </c>
      <c r="C246" s="5" t="n">
        <v>46296</v>
      </c>
      <c r="D246" s="1" t="str">
        <v>INCOME</v>
      </c>
      <c r="E246" s="1" t="str">
        <v>SALARY</v>
      </c>
      <c r="F246" s="4" t="n">
        <v>5620</v>
      </c>
      <c r="G246" s="1" t="str">
        <v>USD</v>
      </c>
    </row>
    <row r="247" ht="23" customHeight="1">
      <c r="A247" s="1" t="str">
        <v>T0246</v>
      </c>
      <c r="B247" s="1" t="str">
        <v>U062</v>
      </c>
      <c r="C247" s="5" t="n">
        <v>46297</v>
      </c>
      <c r="D247" s="1" t="str">
        <v>EXPENSE</v>
      </c>
      <c r="E247" s="1" t="str">
        <v>HOUSING</v>
      </c>
      <c r="F247" s="4" t="n">
        <v>1800</v>
      </c>
      <c r="G247" s="1" t="str">
        <v>USD</v>
      </c>
    </row>
    <row r="248" ht="23" customHeight="1">
      <c r="A248" s="1" t="str">
        <v>T0247</v>
      </c>
      <c r="B248" s="1" t="str">
        <v>U062</v>
      </c>
      <c r="C248" s="5" t="n">
        <v>46298</v>
      </c>
      <c r="D248" s="1" t="str">
        <v>EXPENSE</v>
      </c>
      <c r="E248" s="1" t="str">
        <v>GROCERIES</v>
      </c>
      <c r="F248" s="4" t="n">
        <v>600</v>
      </c>
      <c r="G248" s="1" t="str">
        <v>USD</v>
      </c>
    </row>
    <row r="249" ht="23" customHeight="1">
      <c r="A249" s="1" t="str">
        <v>T0248</v>
      </c>
      <c r="B249" s="1" t="str">
        <v>U062</v>
      </c>
      <c r="C249" s="5" t="n">
        <v>46299</v>
      </c>
      <c r="D249" s="1" t="str">
        <v>EXPENSE</v>
      </c>
      <c r="E249" s="1" t="str">
        <v>UTILITIES</v>
      </c>
      <c r="F249" s="4" t="n">
        <v>300</v>
      </c>
      <c r="G249" s="1" t="str">
        <v>USD</v>
      </c>
    </row>
    <row r="250" ht="23" customHeight="1">
      <c r="A250" s="1" t="str">
        <v>T0249</v>
      </c>
      <c r="B250" s="1" t="str">
        <v>U063</v>
      </c>
      <c r="C250" s="5" t="n">
        <v>46296</v>
      </c>
      <c r="D250" s="1" t="str">
        <v>INCOME</v>
      </c>
      <c r="E250" s="1" t="str">
        <v>SALARY</v>
      </c>
      <c r="F250" s="4" t="n">
        <v>5630</v>
      </c>
      <c r="G250" s="1" t="str">
        <v>USD</v>
      </c>
    </row>
    <row r="251" ht="23" customHeight="1">
      <c r="A251" s="1" t="str">
        <v>T0250</v>
      </c>
      <c r="B251" s="1" t="str">
        <v>U063</v>
      </c>
      <c r="C251" s="5" t="n">
        <v>46297</v>
      </c>
      <c r="D251" s="1" t="str">
        <v>EXPENSE</v>
      </c>
      <c r="E251" s="1" t="str">
        <v>HOUSING</v>
      </c>
      <c r="F251" s="4" t="n">
        <v>1800</v>
      </c>
      <c r="G251" s="1" t="str">
        <v>USD</v>
      </c>
    </row>
    <row r="252" ht="23" customHeight="1">
      <c r="A252" s="1" t="str">
        <v>T0251</v>
      </c>
      <c r="B252" s="1" t="str">
        <v>U063</v>
      </c>
      <c r="C252" s="5" t="n">
        <v>46298</v>
      </c>
      <c r="D252" s="1" t="str">
        <v>EXPENSE</v>
      </c>
      <c r="E252" s="1" t="str">
        <v>GROCERIES</v>
      </c>
      <c r="F252" s="4" t="n">
        <v>600</v>
      </c>
      <c r="G252" s="1" t="str">
        <v>USD</v>
      </c>
    </row>
    <row r="253" ht="23" customHeight="1">
      <c r="A253" s="1" t="str">
        <v>T0252</v>
      </c>
      <c r="B253" s="1" t="str">
        <v>U063</v>
      </c>
      <c r="C253" s="5" t="n">
        <v>46299</v>
      </c>
      <c r="D253" s="1" t="str">
        <v>EXPENSE</v>
      </c>
      <c r="E253" s="1" t="str">
        <v>UTILITIES</v>
      </c>
      <c r="F253" s="4" t="n">
        <v>300</v>
      </c>
      <c r="G253" s="1" t="str">
        <v>USD</v>
      </c>
    </row>
    <row r="254" ht="23" customHeight="1">
      <c r="A254" s="1" t="str">
        <v>T0253</v>
      </c>
      <c r="B254" s="1" t="str">
        <v>U064</v>
      </c>
      <c r="C254" s="5" t="n">
        <v>46296</v>
      </c>
      <c r="D254" s="1" t="str">
        <v>INCOME</v>
      </c>
      <c r="E254" s="1" t="str">
        <v>SALARY</v>
      </c>
      <c r="F254" s="4" t="n">
        <v>5640</v>
      </c>
      <c r="G254" s="1" t="str">
        <v>USD</v>
      </c>
    </row>
    <row r="255" ht="23" customHeight="1">
      <c r="A255" s="1" t="str">
        <v>T0254</v>
      </c>
      <c r="B255" s="1" t="str">
        <v>U064</v>
      </c>
      <c r="C255" s="5" t="n">
        <v>46297</v>
      </c>
      <c r="D255" s="1" t="str">
        <v>EXPENSE</v>
      </c>
      <c r="E255" s="1" t="str">
        <v>HOUSING</v>
      </c>
      <c r="F255" s="4" t="n">
        <v>1800</v>
      </c>
      <c r="G255" s="1" t="str">
        <v>USD</v>
      </c>
    </row>
    <row r="256" ht="23" customHeight="1">
      <c r="A256" s="1" t="str">
        <v>T0255</v>
      </c>
      <c r="B256" s="1" t="str">
        <v>U064</v>
      </c>
      <c r="C256" s="5" t="n">
        <v>46298</v>
      </c>
      <c r="D256" s="1" t="str">
        <v>EXPENSE</v>
      </c>
      <c r="E256" s="1" t="str">
        <v>GROCERIES</v>
      </c>
      <c r="F256" s="4" t="n">
        <v>600</v>
      </c>
      <c r="G256" s="1" t="str">
        <v>USD</v>
      </c>
    </row>
    <row r="257" ht="23" customHeight="1">
      <c r="A257" s="1" t="str">
        <v>T0256</v>
      </c>
      <c r="B257" s="1" t="str">
        <v>U064</v>
      </c>
      <c r="C257" s="5" t="n">
        <v>46299</v>
      </c>
      <c r="D257" s="1" t="str">
        <v>EXPENSE</v>
      </c>
      <c r="E257" s="1" t="str">
        <v>UTILITIES</v>
      </c>
      <c r="F257" s="4" t="n">
        <v>300</v>
      </c>
      <c r="G257" s="1" t="str">
        <v>USD</v>
      </c>
    </row>
    <row r="258" ht="23" customHeight="1">
      <c r="A258" s="1" t="str">
        <v>T0257</v>
      </c>
      <c r="B258" s="1" t="str">
        <v>U065</v>
      </c>
      <c r="C258" s="5" t="n">
        <v>46296</v>
      </c>
      <c r="D258" s="1" t="str">
        <v>INCOME</v>
      </c>
      <c r="E258" s="1" t="str">
        <v>SALARY</v>
      </c>
      <c r="F258" s="4" t="n">
        <v>5650</v>
      </c>
      <c r="G258" s="1" t="str">
        <v>USD</v>
      </c>
    </row>
    <row r="259" ht="23" customHeight="1">
      <c r="A259" s="1" t="str">
        <v>T0258</v>
      </c>
      <c r="B259" s="1" t="str">
        <v>U065</v>
      </c>
      <c r="C259" s="5" t="n">
        <v>46297</v>
      </c>
      <c r="D259" s="1" t="str">
        <v>EXPENSE</v>
      </c>
      <c r="E259" s="1" t="str">
        <v>HOUSING</v>
      </c>
      <c r="F259" s="4" t="n">
        <v>1800</v>
      </c>
      <c r="G259" s="1" t="str">
        <v>USD</v>
      </c>
    </row>
    <row r="260" ht="23" customHeight="1">
      <c r="A260" s="1" t="str">
        <v>T0259</v>
      </c>
      <c r="B260" s="1" t="str">
        <v>U065</v>
      </c>
      <c r="C260" s="5" t="n">
        <v>46298</v>
      </c>
      <c r="D260" s="1" t="str">
        <v>EXPENSE</v>
      </c>
      <c r="E260" s="1" t="str">
        <v>GROCERIES</v>
      </c>
      <c r="F260" s="4" t="n">
        <v>600</v>
      </c>
      <c r="G260" s="1" t="str">
        <v>USD</v>
      </c>
    </row>
    <row r="261" ht="23" customHeight="1">
      <c r="A261" s="1" t="str">
        <v>T0260</v>
      </c>
      <c r="B261" s="1" t="str">
        <v>U065</v>
      </c>
      <c r="C261" s="5" t="n">
        <v>46299</v>
      </c>
      <c r="D261" s="1" t="str">
        <v>EXPENSE</v>
      </c>
      <c r="E261" s="1" t="str">
        <v>UTILITIES</v>
      </c>
      <c r="F261" s="4" t="n">
        <v>300</v>
      </c>
      <c r="G261" s="1" t="str">
        <v>USD</v>
      </c>
    </row>
    <row r="262" ht="23" customHeight="1">
      <c r="A262" s="1" t="str">
        <v>T0261</v>
      </c>
      <c r="B262" s="1" t="str">
        <v>U066</v>
      </c>
      <c r="C262" s="5" t="n">
        <v>46296</v>
      </c>
      <c r="D262" s="1" t="str">
        <v>INCOME</v>
      </c>
      <c r="E262" s="1" t="str">
        <v>SALARY</v>
      </c>
      <c r="F262" s="4" t="n">
        <v>5660</v>
      </c>
      <c r="G262" s="1" t="str">
        <v>USD</v>
      </c>
    </row>
    <row r="263" ht="23" customHeight="1">
      <c r="A263" s="1" t="str">
        <v>T0262</v>
      </c>
      <c r="B263" s="1" t="str">
        <v>U066</v>
      </c>
      <c r="C263" s="5" t="n">
        <v>46297</v>
      </c>
      <c r="D263" s="1" t="str">
        <v>EXPENSE</v>
      </c>
      <c r="E263" s="1" t="str">
        <v>HOUSING</v>
      </c>
      <c r="F263" s="4" t="n">
        <v>1800</v>
      </c>
      <c r="G263" s="1" t="str">
        <v>USD</v>
      </c>
    </row>
    <row r="264" ht="23" customHeight="1">
      <c r="A264" s="1" t="str">
        <v>T0263</v>
      </c>
      <c r="B264" s="1" t="str">
        <v>U066</v>
      </c>
      <c r="C264" s="5" t="n">
        <v>46298</v>
      </c>
      <c r="D264" s="1" t="str">
        <v>EXPENSE</v>
      </c>
      <c r="E264" s="1" t="str">
        <v>GROCERIES</v>
      </c>
      <c r="F264" s="4" t="n">
        <v>600</v>
      </c>
      <c r="G264" s="1" t="str">
        <v>USD</v>
      </c>
    </row>
    <row r="265" ht="23" customHeight="1">
      <c r="A265" s="1" t="str">
        <v>T0264</v>
      </c>
      <c r="B265" s="1" t="str">
        <v>U066</v>
      </c>
      <c r="C265" s="5" t="n">
        <v>46299</v>
      </c>
      <c r="D265" s="1" t="str">
        <v>EXPENSE</v>
      </c>
      <c r="E265" s="1" t="str">
        <v>UTILITIES</v>
      </c>
      <c r="F265" s="4" t="n">
        <v>300</v>
      </c>
      <c r="G265" s="1" t="str">
        <v>USD</v>
      </c>
    </row>
    <row r="266" ht="23" customHeight="1">
      <c r="A266" s="1" t="str">
        <v>T0265</v>
      </c>
      <c r="B266" s="1" t="str">
        <v>U067</v>
      </c>
      <c r="C266" s="5" t="n">
        <v>46296</v>
      </c>
      <c r="D266" s="1" t="str">
        <v>INCOME</v>
      </c>
      <c r="E266" s="1" t="str">
        <v>SALARY</v>
      </c>
      <c r="F266" s="4" t="n">
        <v>5670</v>
      </c>
      <c r="G266" s="1" t="str">
        <v>USD</v>
      </c>
    </row>
    <row r="267" ht="23" customHeight="1">
      <c r="A267" s="1" t="str">
        <v>T0266</v>
      </c>
      <c r="B267" s="1" t="str">
        <v>U067</v>
      </c>
      <c r="C267" s="5" t="n">
        <v>46297</v>
      </c>
      <c r="D267" s="1" t="str">
        <v>EXPENSE</v>
      </c>
      <c r="E267" s="1" t="str">
        <v>HOUSING</v>
      </c>
      <c r="F267" s="4" t="n">
        <v>1800</v>
      </c>
      <c r="G267" s="1" t="str">
        <v>USD</v>
      </c>
    </row>
    <row r="268" ht="23" customHeight="1">
      <c r="A268" s="1" t="str">
        <v>T0267</v>
      </c>
      <c r="B268" s="1" t="str">
        <v>U067</v>
      </c>
      <c r="C268" s="5" t="n">
        <v>46298</v>
      </c>
      <c r="D268" s="1" t="str">
        <v>EXPENSE</v>
      </c>
      <c r="E268" s="1" t="str">
        <v>GROCERIES</v>
      </c>
      <c r="F268" s="4" t="n">
        <v>600</v>
      </c>
      <c r="G268" s="1" t="str">
        <v>USD</v>
      </c>
    </row>
    <row r="269" ht="23" customHeight="1">
      <c r="A269" s="1" t="str">
        <v>T0268</v>
      </c>
      <c r="B269" s="1" t="str">
        <v>U067</v>
      </c>
      <c r="C269" s="5" t="n">
        <v>46299</v>
      </c>
      <c r="D269" s="1" t="str">
        <v>EXPENSE</v>
      </c>
      <c r="E269" s="1" t="str">
        <v>UTILITIES</v>
      </c>
      <c r="F269" s="4" t="n">
        <v>300</v>
      </c>
      <c r="G269" s="1" t="str">
        <v>USD</v>
      </c>
    </row>
    <row r="270" ht="23" customHeight="1">
      <c r="A270" s="1" t="str">
        <v>T0269</v>
      </c>
      <c r="B270" s="1" t="str">
        <v>U068</v>
      </c>
      <c r="C270" s="5" t="n">
        <v>46296</v>
      </c>
      <c r="D270" s="1" t="str">
        <v>INCOME</v>
      </c>
      <c r="E270" s="1" t="str">
        <v>SALARY</v>
      </c>
      <c r="F270" s="4" t="n">
        <v>5680</v>
      </c>
      <c r="G270" s="1" t="str">
        <v>USD</v>
      </c>
    </row>
    <row r="271" ht="23" customHeight="1">
      <c r="A271" s="1" t="str">
        <v>T0270</v>
      </c>
      <c r="B271" s="1" t="str">
        <v>U068</v>
      </c>
      <c r="C271" s="5" t="n">
        <v>46297</v>
      </c>
      <c r="D271" s="1" t="str">
        <v>EXPENSE</v>
      </c>
      <c r="E271" s="1" t="str">
        <v>HOUSING</v>
      </c>
      <c r="F271" s="4" t="n">
        <v>1800</v>
      </c>
      <c r="G271" s="1" t="str">
        <v>USD</v>
      </c>
    </row>
    <row r="272" ht="23" customHeight="1">
      <c r="A272" s="1" t="str">
        <v>T0271</v>
      </c>
      <c r="B272" s="1" t="str">
        <v>U068</v>
      </c>
      <c r="C272" s="5" t="n">
        <v>46298</v>
      </c>
      <c r="D272" s="1" t="str">
        <v>EXPENSE</v>
      </c>
      <c r="E272" s="1" t="str">
        <v>GROCERIES</v>
      </c>
      <c r="F272" s="4" t="n">
        <v>600</v>
      </c>
      <c r="G272" s="1" t="str">
        <v>USD</v>
      </c>
    </row>
    <row r="273" ht="23" customHeight="1">
      <c r="A273" s="1" t="str">
        <v>T0272</v>
      </c>
      <c r="B273" s="1" t="str">
        <v>U068</v>
      </c>
      <c r="C273" s="5" t="n">
        <v>46299</v>
      </c>
      <c r="D273" s="1" t="str">
        <v>EXPENSE</v>
      </c>
      <c r="E273" s="1" t="str">
        <v>UTILITIES</v>
      </c>
      <c r="F273" s="4" t="n">
        <v>300</v>
      </c>
      <c r="G273" s="1" t="str">
        <v>USD</v>
      </c>
    </row>
    <row r="274" ht="23" customHeight="1">
      <c r="A274" s="1" t="str">
        <v>T0273</v>
      </c>
      <c r="B274" s="1" t="str">
        <v>U069</v>
      </c>
      <c r="C274" s="5" t="n">
        <v>46296</v>
      </c>
      <c r="D274" s="1" t="str">
        <v>INCOME</v>
      </c>
      <c r="E274" s="1" t="str">
        <v>SALARY</v>
      </c>
      <c r="F274" s="4" t="n">
        <v>5690</v>
      </c>
      <c r="G274" s="1" t="str">
        <v>USD</v>
      </c>
    </row>
    <row r="275" ht="23" customHeight="1">
      <c r="A275" s="1" t="str">
        <v>T0274</v>
      </c>
      <c r="B275" s="1" t="str">
        <v>U069</v>
      </c>
      <c r="C275" s="5" t="n">
        <v>46297</v>
      </c>
      <c r="D275" s="1" t="str">
        <v>EXPENSE</v>
      </c>
      <c r="E275" s="1" t="str">
        <v>HOUSING</v>
      </c>
      <c r="F275" s="4" t="n">
        <v>1800</v>
      </c>
      <c r="G275" s="1" t="str">
        <v>USD</v>
      </c>
    </row>
    <row r="276" ht="23" customHeight="1">
      <c r="A276" s="1" t="str">
        <v>T0275</v>
      </c>
      <c r="B276" s="1" t="str">
        <v>U069</v>
      </c>
      <c r="C276" s="5" t="n">
        <v>46298</v>
      </c>
      <c r="D276" s="1" t="str">
        <v>EXPENSE</v>
      </c>
      <c r="E276" s="1" t="str">
        <v>GROCERIES</v>
      </c>
      <c r="F276" s="4" t="n">
        <v>600</v>
      </c>
      <c r="G276" s="1" t="str">
        <v>USD</v>
      </c>
    </row>
    <row r="277" ht="23" customHeight="1">
      <c r="A277" s="1" t="str">
        <v>T0276</v>
      </c>
      <c r="B277" s="1" t="str">
        <v>U069</v>
      </c>
      <c r="C277" s="5" t="n">
        <v>46299</v>
      </c>
      <c r="D277" s="1" t="str">
        <v>EXPENSE</v>
      </c>
      <c r="E277" s="1" t="str">
        <v>UTILITIES</v>
      </c>
      <c r="F277" s="4" t="n">
        <v>300</v>
      </c>
      <c r="G277" s="1" t="str">
        <v>USD</v>
      </c>
    </row>
    <row r="278" ht="23" customHeight="1">
      <c r="A278" s="1" t="str">
        <v>T0277</v>
      </c>
      <c r="B278" s="1" t="str">
        <v>U070</v>
      </c>
      <c r="C278" s="5" t="n">
        <v>46296</v>
      </c>
      <c r="D278" s="1" t="str">
        <v>INCOME</v>
      </c>
      <c r="E278" s="1" t="str">
        <v>SALARY</v>
      </c>
      <c r="F278" s="4" t="n">
        <v>5700</v>
      </c>
      <c r="G278" s="1" t="str">
        <v>USD</v>
      </c>
    </row>
    <row r="279" ht="23" customHeight="1">
      <c r="A279" s="1" t="str">
        <v>T0278</v>
      </c>
      <c r="B279" s="1" t="str">
        <v>U070</v>
      </c>
      <c r="C279" s="5" t="n">
        <v>46297</v>
      </c>
      <c r="D279" s="1" t="str">
        <v>EXPENSE</v>
      </c>
      <c r="E279" s="1" t="str">
        <v>HOUSING</v>
      </c>
      <c r="F279" s="4" t="n">
        <v>1800</v>
      </c>
      <c r="G279" s="1" t="str">
        <v>USD</v>
      </c>
    </row>
    <row r="280" ht="23" customHeight="1">
      <c r="A280" s="1" t="str">
        <v>T0279</v>
      </c>
      <c r="B280" s="1" t="str">
        <v>U070</v>
      </c>
      <c r="C280" s="5" t="n">
        <v>46298</v>
      </c>
      <c r="D280" s="1" t="str">
        <v>EXPENSE</v>
      </c>
      <c r="E280" s="1" t="str">
        <v>GROCERIES</v>
      </c>
      <c r="F280" s="4" t="n">
        <v>600</v>
      </c>
      <c r="G280" s="1" t="str">
        <v>USD</v>
      </c>
    </row>
    <row r="281" ht="23" customHeight="1">
      <c r="A281" s="1" t="str">
        <v>T0280</v>
      </c>
      <c r="B281" s="1" t="str">
        <v>U070</v>
      </c>
      <c r="C281" s="5" t="n">
        <v>46299</v>
      </c>
      <c r="D281" s="1" t="str">
        <v>EXPENSE</v>
      </c>
      <c r="E281" s="1" t="str">
        <v>UTILITIES</v>
      </c>
      <c r="F281" s="4" t="n">
        <v>300</v>
      </c>
      <c r="G281" s="1" t="str">
        <v>USD</v>
      </c>
    </row>
    <row r="282" ht="23" customHeight="1">
      <c r="A282" s="1" t="str">
        <v>T0281</v>
      </c>
      <c r="B282" s="1" t="str">
        <v>U071</v>
      </c>
      <c r="C282" s="5" t="n">
        <v>46296</v>
      </c>
      <c r="D282" s="1" t="str">
        <v>INCOME</v>
      </c>
      <c r="E282" s="1" t="str">
        <v>SALARY</v>
      </c>
      <c r="F282" s="4" t="n">
        <v>5710</v>
      </c>
      <c r="G282" s="1" t="str">
        <v>USD</v>
      </c>
    </row>
    <row r="283" ht="23" customHeight="1">
      <c r="A283" s="1" t="str">
        <v>T0282</v>
      </c>
      <c r="B283" s="1" t="str">
        <v>U071</v>
      </c>
      <c r="C283" s="5" t="n">
        <v>46297</v>
      </c>
      <c r="D283" s="1" t="str">
        <v>EXPENSE</v>
      </c>
      <c r="E283" s="1" t="str">
        <v>HOUSING</v>
      </c>
      <c r="F283" s="4" t="n">
        <v>1800</v>
      </c>
      <c r="G283" s="1" t="str">
        <v>USD</v>
      </c>
    </row>
    <row r="284" ht="23" customHeight="1">
      <c r="A284" s="1" t="str">
        <v>T0283</v>
      </c>
      <c r="B284" s="1" t="str">
        <v>U071</v>
      </c>
      <c r="C284" s="5" t="n">
        <v>46298</v>
      </c>
      <c r="D284" s="1" t="str">
        <v>EXPENSE</v>
      </c>
      <c r="E284" s="1" t="str">
        <v>GROCERIES</v>
      </c>
      <c r="F284" s="4" t="n">
        <v>600</v>
      </c>
      <c r="G284" s="1" t="str">
        <v>USD</v>
      </c>
    </row>
    <row r="285" ht="23" customHeight="1">
      <c r="A285" s="1" t="str">
        <v>T0284</v>
      </c>
      <c r="B285" s="1" t="str">
        <v>U071</v>
      </c>
      <c r="C285" s="5" t="n">
        <v>46299</v>
      </c>
      <c r="D285" s="1" t="str">
        <v>EXPENSE</v>
      </c>
      <c r="E285" s="1" t="str">
        <v>UTILITIES</v>
      </c>
      <c r="F285" s="4" t="n">
        <v>300</v>
      </c>
      <c r="G285" s="1" t="str">
        <v>USD</v>
      </c>
    </row>
    <row r="286" ht="23" customHeight="1">
      <c r="A286" s="1" t="str">
        <v>T0285</v>
      </c>
      <c r="B286" s="1" t="str">
        <v>U072</v>
      </c>
      <c r="C286" s="5" t="n">
        <v>46296</v>
      </c>
      <c r="D286" s="1" t="str">
        <v>INCOME</v>
      </c>
      <c r="E286" s="1" t="str">
        <v>SALARY</v>
      </c>
      <c r="F286" s="4" t="n">
        <v>5720</v>
      </c>
      <c r="G286" s="1" t="str">
        <v>USD</v>
      </c>
    </row>
    <row r="287" ht="23" customHeight="1">
      <c r="A287" s="1" t="str">
        <v>T0286</v>
      </c>
      <c r="B287" s="1" t="str">
        <v>U072</v>
      </c>
      <c r="C287" s="5" t="n">
        <v>46297</v>
      </c>
      <c r="D287" s="1" t="str">
        <v>EXPENSE</v>
      </c>
      <c r="E287" s="1" t="str">
        <v>HOUSING</v>
      </c>
      <c r="F287" s="4" t="n">
        <v>1800</v>
      </c>
      <c r="G287" s="1" t="str">
        <v>USD</v>
      </c>
    </row>
    <row r="288" ht="23" customHeight="1">
      <c r="A288" s="1" t="str">
        <v>T0287</v>
      </c>
      <c r="B288" s="1" t="str">
        <v>U072</v>
      </c>
      <c r="C288" s="5" t="n">
        <v>46298</v>
      </c>
      <c r="D288" s="1" t="str">
        <v>EXPENSE</v>
      </c>
      <c r="E288" s="1" t="str">
        <v>GROCERIES</v>
      </c>
      <c r="F288" s="4" t="n">
        <v>600</v>
      </c>
      <c r="G288" s="1" t="str">
        <v>USD</v>
      </c>
    </row>
    <row r="289" ht="23" customHeight="1">
      <c r="A289" s="1" t="str">
        <v>T0288</v>
      </c>
      <c r="B289" s="1" t="str">
        <v>U072</v>
      </c>
      <c r="C289" s="5" t="n">
        <v>46299</v>
      </c>
      <c r="D289" s="1" t="str">
        <v>EXPENSE</v>
      </c>
      <c r="E289" s="1" t="str">
        <v>UTILITIES</v>
      </c>
      <c r="F289" s="4" t="n">
        <v>300</v>
      </c>
      <c r="G289" s="1" t="str">
        <v>USD</v>
      </c>
    </row>
    <row r="290" ht="23" customHeight="1">
      <c r="A290" s="1" t="str">
        <v>T0289</v>
      </c>
      <c r="B290" s="1" t="str">
        <v>U073</v>
      </c>
      <c r="C290" s="5" t="n">
        <v>46296</v>
      </c>
      <c r="D290" s="1" t="str">
        <v>INCOME</v>
      </c>
      <c r="E290" s="1" t="str">
        <v>SALARY</v>
      </c>
      <c r="F290" s="4" t="n">
        <v>5730</v>
      </c>
      <c r="G290" s="1" t="str">
        <v>USD</v>
      </c>
    </row>
    <row r="291" ht="23" customHeight="1">
      <c r="A291" s="1" t="str">
        <v>T0290</v>
      </c>
      <c r="B291" s="1" t="str">
        <v>U073</v>
      </c>
      <c r="C291" s="5" t="n">
        <v>46297</v>
      </c>
      <c r="D291" s="1" t="str">
        <v>EXPENSE</v>
      </c>
      <c r="E291" s="1" t="str">
        <v>HOUSING</v>
      </c>
      <c r="F291" s="4" t="n">
        <v>1800</v>
      </c>
      <c r="G291" s="1" t="str">
        <v>USD</v>
      </c>
    </row>
    <row r="292" ht="23" customHeight="1">
      <c r="A292" s="1" t="str">
        <v>T0291</v>
      </c>
      <c r="B292" s="1" t="str">
        <v>U073</v>
      </c>
      <c r="C292" s="5" t="n">
        <v>46298</v>
      </c>
      <c r="D292" s="1" t="str">
        <v>EXPENSE</v>
      </c>
      <c r="E292" s="1" t="str">
        <v>GROCERIES</v>
      </c>
      <c r="F292" s="4" t="n">
        <v>600</v>
      </c>
      <c r="G292" s="1" t="str">
        <v>USD</v>
      </c>
    </row>
    <row r="293" ht="23" customHeight="1">
      <c r="A293" s="1" t="str">
        <v>T0292</v>
      </c>
      <c r="B293" s="1" t="str">
        <v>U073</v>
      </c>
      <c r="C293" s="5" t="n">
        <v>46299</v>
      </c>
      <c r="D293" s="1" t="str">
        <v>EXPENSE</v>
      </c>
      <c r="E293" s="1" t="str">
        <v>UTILITIES</v>
      </c>
      <c r="F293" s="4" t="n">
        <v>300</v>
      </c>
      <c r="G293" s="1" t="str">
        <v>USD</v>
      </c>
    </row>
    <row r="294" ht="23" customHeight="1">
      <c r="A294" s="1" t="str">
        <v>T0293</v>
      </c>
      <c r="B294" s="1" t="str">
        <v>U074</v>
      </c>
      <c r="C294" s="5" t="n">
        <v>46296</v>
      </c>
      <c r="D294" s="1" t="str">
        <v>INCOME</v>
      </c>
      <c r="E294" s="1" t="str">
        <v>SALARY</v>
      </c>
      <c r="F294" s="4" t="n">
        <v>5740</v>
      </c>
      <c r="G294" s="1" t="str">
        <v>USD</v>
      </c>
    </row>
    <row r="295" ht="23" customHeight="1">
      <c r="A295" s="1" t="str">
        <v>T0294</v>
      </c>
      <c r="B295" s="1" t="str">
        <v>U074</v>
      </c>
      <c r="C295" s="5" t="n">
        <v>46297</v>
      </c>
      <c r="D295" s="1" t="str">
        <v>EXPENSE</v>
      </c>
      <c r="E295" s="1" t="str">
        <v>HOUSING</v>
      </c>
      <c r="F295" s="4" t="n">
        <v>1800</v>
      </c>
      <c r="G295" s="1" t="str">
        <v>USD</v>
      </c>
    </row>
    <row r="296" ht="23" customHeight="1">
      <c r="A296" s="1" t="str">
        <v>T0295</v>
      </c>
      <c r="B296" s="1" t="str">
        <v>U074</v>
      </c>
      <c r="C296" s="5" t="n">
        <v>46298</v>
      </c>
      <c r="D296" s="1" t="str">
        <v>EXPENSE</v>
      </c>
      <c r="E296" s="1" t="str">
        <v>GROCERIES</v>
      </c>
      <c r="F296" s="4" t="n">
        <v>600</v>
      </c>
      <c r="G296" s="1" t="str">
        <v>USD</v>
      </c>
    </row>
    <row r="297" ht="23" customHeight="1">
      <c r="A297" s="1" t="str">
        <v>T0296</v>
      </c>
      <c r="B297" s="1" t="str">
        <v>U074</v>
      </c>
      <c r="C297" s="5" t="n">
        <v>46299</v>
      </c>
      <c r="D297" s="1" t="str">
        <v>EXPENSE</v>
      </c>
      <c r="E297" s="1" t="str">
        <v>UTILITIES</v>
      </c>
      <c r="F297" s="4" t="n">
        <v>300</v>
      </c>
      <c r="G297" s="1" t="str">
        <v>USD</v>
      </c>
    </row>
    <row r="298" ht="23" customHeight="1">
      <c r="A298" s="1" t="str">
        <v>T0297</v>
      </c>
      <c r="B298" s="1" t="str">
        <v>U075</v>
      </c>
      <c r="C298" s="5" t="n">
        <v>46296</v>
      </c>
      <c r="D298" s="1" t="str">
        <v>INCOME</v>
      </c>
      <c r="E298" s="1" t="str">
        <v>SALARY</v>
      </c>
      <c r="F298" s="4" t="n">
        <v>5750</v>
      </c>
      <c r="G298" s="1" t="str">
        <v>USD</v>
      </c>
    </row>
    <row r="299" ht="23" customHeight="1">
      <c r="A299" s="1" t="str">
        <v>T0298</v>
      </c>
      <c r="B299" s="1" t="str">
        <v>U075</v>
      </c>
      <c r="C299" s="5" t="n">
        <v>46297</v>
      </c>
      <c r="D299" s="1" t="str">
        <v>EXPENSE</v>
      </c>
      <c r="E299" s="1" t="str">
        <v>HOUSING</v>
      </c>
      <c r="F299" s="4" t="n">
        <v>1800</v>
      </c>
      <c r="G299" s="1" t="str">
        <v>USD</v>
      </c>
    </row>
    <row r="300" ht="23" customHeight="1">
      <c r="A300" s="1" t="str">
        <v>T0299</v>
      </c>
      <c r="B300" s="1" t="str">
        <v>U075</v>
      </c>
      <c r="C300" s="5" t="n">
        <v>46298</v>
      </c>
      <c r="D300" s="1" t="str">
        <v>EXPENSE</v>
      </c>
      <c r="E300" s="1" t="str">
        <v>GROCERIES</v>
      </c>
      <c r="F300" s="4" t="n">
        <v>600</v>
      </c>
      <c r="G300" s="1" t="str">
        <v>USD</v>
      </c>
    </row>
    <row r="301" ht="23" customHeight="1">
      <c r="A301" s="1" t="str">
        <v>T0300</v>
      </c>
      <c r="B301" s="1" t="str">
        <v>U075</v>
      </c>
      <c r="C301" s="5" t="n">
        <v>46299</v>
      </c>
      <c r="D301" s="1" t="str">
        <v>EXPENSE</v>
      </c>
      <c r="E301" s="1" t="str">
        <v>UTILITIES</v>
      </c>
      <c r="F301" s="4" t="n">
        <v>300</v>
      </c>
      <c r="G301" s="1" t="str">
        <v>USD</v>
      </c>
    </row>
    <row r="302" ht="23" customHeight="1">
      <c r="A302" s="1" t="str">
        <v>T0301</v>
      </c>
      <c r="B302" s="1" t="str">
        <v>U076</v>
      </c>
      <c r="C302" s="5" t="n">
        <v>46296</v>
      </c>
      <c r="D302" s="1" t="str">
        <v>INCOME</v>
      </c>
      <c r="E302" s="1" t="str">
        <v>SALARY</v>
      </c>
      <c r="F302" s="4" t="n">
        <v>5760</v>
      </c>
      <c r="G302" s="1" t="str">
        <v>USD</v>
      </c>
    </row>
    <row r="303" ht="23" customHeight="1">
      <c r="A303" s="1" t="str">
        <v>T0302</v>
      </c>
      <c r="B303" s="1" t="str">
        <v>U076</v>
      </c>
      <c r="C303" s="5" t="n">
        <v>46297</v>
      </c>
      <c r="D303" s="1" t="str">
        <v>EXPENSE</v>
      </c>
      <c r="E303" s="1" t="str">
        <v>HOUSING</v>
      </c>
      <c r="F303" s="4" t="n">
        <v>1800</v>
      </c>
      <c r="G303" s="1" t="str">
        <v>USD</v>
      </c>
    </row>
    <row r="304" ht="23" customHeight="1">
      <c r="A304" s="1" t="str">
        <v>T0303</v>
      </c>
      <c r="B304" s="1" t="str">
        <v>U076</v>
      </c>
      <c r="C304" s="5" t="n">
        <v>46298</v>
      </c>
      <c r="D304" s="1" t="str">
        <v>EXPENSE</v>
      </c>
      <c r="E304" s="1" t="str">
        <v>GROCERIES</v>
      </c>
      <c r="F304" s="4" t="n">
        <v>600</v>
      </c>
      <c r="G304" s="1" t="str">
        <v>USD</v>
      </c>
    </row>
    <row r="305" ht="23" customHeight="1">
      <c r="A305" s="1" t="str">
        <v>T0304</v>
      </c>
      <c r="B305" s="1" t="str">
        <v>U076</v>
      </c>
      <c r="C305" s="5" t="n">
        <v>46299</v>
      </c>
      <c r="D305" s="1" t="str">
        <v>EXPENSE</v>
      </c>
      <c r="E305" s="1" t="str">
        <v>UTILITIES</v>
      </c>
      <c r="F305" s="4" t="n">
        <v>300</v>
      </c>
      <c r="G305" s="1" t="str">
        <v>USD</v>
      </c>
    </row>
    <row r="306" ht="23" customHeight="1">
      <c r="A306" s="1" t="str">
        <v>T0305</v>
      </c>
      <c r="B306" s="1" t="str">
        <v>U077</v>
      </c>
      <c r="C306" s="5" t="n">
        <v>46296</v>
      </c>
      <c r="D306" s="1" t="str">
        <v>INCOME</v>
      </c>
      <c r="E306" s="1" t="str">
        <v>SALARY</v>
      </c>
      <c r="F306" s="4" t="n">
        <v>5770</v>
      </c>
      <c r="G306" s="1" t="str">
        <v>USD</v>
      </c>
    </row>
    <row r="307" ht="23" customHeight="1">
      <c r="A307" s="1" t="str">
        <v>T0306</v>
      </c>
      <c r="B307" s="1" t="str">
        <v>U077</v>
      </c>
      <c r="C307" s="5" t="n">
        <v>46297</v>
      </c>
      <c r="D307" s="1" t="str">
        <v>EXPENSE</v>
      </c>
      <c r="E307" s="1" t="str">
        <v>HOUSING</v>
      </c>
      <c r="F307" s="4" t="n">
        <v>1800</v>
      </c>
      <c r="G307" s="1" t="str">
        <v>USD</v>
      </c>
    </row>
    <row r="308" ht="23" customHeight="1">
      <c r="A308" s="1" t="str">
        <v>T0307</v>
      </c>
      <c r="B308" s="1" t="str">
        <v>U077</v>
      </c>
      <c r="C308" s="5" t="n">
        <v>46298</v>
      </c>
      <c r="D308" s="1" t="str">
        <v>EXPENSE</v>
      </c>
      <c r="E308" s="1" t="str">
        <v>GROCERIES</v>
      </c>
      <c r="F308" s="4" t="n">
        <v>600</v>
      </c>
      <c r="G308" s="1" t="str">
        <v>USD</v>
      </c>
    </row>
    <row r="309" ht="23" customHeight="1">
      <c r="A309" s="1" t="str">
        <v>T0308</v>
      </c>
      <c r="B309" s="1" t="str">
        <v>U077</v>
      </c>
      <c r="C309" s="5" t="n">
        <v>46299</v>
      </c>
      <c r="D309" s="1" t="str">
        <v>EXPENSE</v>
      </c>
      <c r="E309" s="1" t="str">
        <v>UTILITIES</v>
      </c>
      <c r="F309" s="4" t="n">
        <v>300</v>
      </c>
      <c r="G309" s="1" t="str">
        <v>USD</v>
      </c>
    </row>
    <row r="310" ht="23" customHeight="1">
      <c r="A310" s="1" t="str">
        <v>T0309</v>
      </c>
      <c r="B310" s="1" t="str">
        <v>U078</v>
      </c>
      <c r="C310" s="5" t="n">
        <v>46296</v>
      </c>
      <c r="D310" s="1" t="str">
        <v>INCOME</v>
      </c>
      <c r="E310" s="1" t="str">
        <v>SALARY</v>
      </c>
      <c r="F310" s="4" t="n">
        <v>5780</v>
      </c>
      <c r="G310" s="1" t="str">
        <v>USD</v>
      </c>
    </row>
    <row r="311" ht="23" customHeight="1">
      <c r="A311" s="1" t="str">
        <v>T0310</v>
      </c>
      <c r="B311" s="1" t="str">
        <v>U078</v>
      </c>
      <c r="C311" s="5" t="n">
        <v>46297</v>
      </c>
      <c r="D311" s="1" t="str">
        <v>EXPENSE</v>
      </c>
      <c r="E311" s="1" t="str">
        <v>HOUSING</v>
      </c>
      <c r="F311" s="4" t="n">
        <v>1800</v>
      </c>
      <c r="G311" s="1" t="str">
        <v>USD</v>
      </c>
    </row>
    <row r="312" ht="23" customHeight="1">
      <c r="A312" s="1" t="str">
        <v>T0311</v>
      </c>
      <c r="B312" s="1" t="str">
        <v>U078</v>
      </c>
      <c r="C312" s="5" t="n">
        <v>46298</v>
      </c>
      <c r="D312" s="1" t="str">
        <v>EXPENSE</v>
      </c>
      <c r="E312" s="1" t="str">
        <v>GROCERIES</v>
      </c>
      <c r="F312" s="4" t="n">
        <v>600</v>
      </c>
      <c r="G312" s="1" t="str">
        <v>USD</v>
      </c>
    </row>
    <row r="313" ht="23" customHeight="1">
      <c r="A313" s="1" t="str">
        <v>T0312</v>
      </c>
      <c r="B313" s="1" t="str">
        <v>U078</v>
      </c>
      <c r="C313" s="5" t="n">
        <v>46299</v>
      </c>
      <c r="D313" s="1" t="str">
        <v>EXPENSE</v>
      </c>
      <c r="E313" s="1" t="str">
        <v>UTILITIES</v>
      </c>
      <c r="F313" s="4" t="n">
        <v>300</v>
      </c>
      <c r="G313" s="1" t="str">
        <v>USD</v>
      </c>
    </row>
    <row r="314" ht="23" customHeight="1">
      <c r="A314" s="1" t="str">
        <v>T0313</v>
      </c>
      <c r="B314" s="1" t="str">
        <v>U079</v>
      </c>
      <c r="C314" s="5" t="n">
        <v>46296</v>
      </c>
      <c r="D314" s="1" t="str">
        <v>INCOME</v>
      </c>
      <c r="E314" s="1" t="str">
        <v>SALARY</v>
      </c>
      <c r="F314" s="4" t="n">
        <v>5790</v>
      </c>
      <c r="G314" s="1" t="str">
        <v>USD</v>
      </c>
    </row>
    <row r="315" ht="23" customHeight="1">
      <c r="A315" s="1" t="str">
        <v>T0314</v>
      </c>
      <c r="B315" s="1" t="str">
        <v>U079</v>
      </c>
      <c r="C315" s="5" t="n">
        <v>46297</v>
      </c>
      <c r="D315" s="1" t="str">
        <v>EXPENSE</v>
      </c>
      <c r="E315" s="1" t="str">
        <v>HOUSING</v>
      </c>
      <c r="F315" s="4" t="n">
        <v>1800</v>
      </c>
      <c r="G315" s="1" t="str">
        <v>USD</v>
      </c>
    </row>
    <row r="316" ht="23" customHeight="1">
      <c r="A316" s="1" t="str">
        <v>T0315</v>
      </c>
      <c r="B316" s="1" t="str">
        <v>U079</v>
      </c>
      <c r="C316" s="5" t="n">
        <v>46298</v>
      </c>
      <c r="D316" s="1" t="str">
        <v>EXPENSE</v>
      </c>
      <c r="E316" s="1" t="str">
        <v>GROCERIES</v>
      </c>
      <c r="F316" s="4" t="n">
        <v>600</v>
      </c>
      <c r="G316" s="1" t="str">
        <v>USD</v>
      </c>
    </row>
    <row r="317" ht="23" customHeight="1">
      <c r="A317" s="1" t="str">
        <v>T0316</v>
      </c>
      <c r="B317" s="1" t="str">
        <v>U079</v>
      </c>
      <c r="C317" s="5" t="n">
        <v>46299</v>
      </c>
      <c r="D317" s="1" t="str">
        <v>EXPENSE</v>
      </c>
      <c r="E317" s="1" t="str">
        <v>UTILITIES</v>
      </c>
      <c r="F317" s="4" t="n">
        <v>300</v>
      </c>
      <c r="G317" s="1" t="str">
        <v>USD</v>
      </c>
    </row>
    <row r="318" ht="23" customHeight="1">
      <c r="A318" s="1" t="str">
        <v>T0317</v>
      </c>
      <c r="B318" s="1" t="str">
        <v>U080</v>
      </c>
      <c r="C318" s="5" t="n">
        <v>46296</v>
      </c>
      <c r="D318" s="1" t="str">
        <v>INCOME</v>
      </c>
      <c r="E318" s="1" t="str">
        <v>SALARY</v>
      </c>
      <c r="F318" s="4" t="n">
        <v>5800</v>
      </c>
      <c r="G318" s="1" t="str">
        <v>USD</v>
      </c>
    </row>
    <row r="319" ht="23" customHeight="1">
      <c r="A319" s="1" t="str">
        <v>T0318</v>
      </c>
      <c r="B319" s="1" t="str">
        <v>U080</v>
      </c>
      <c r="C319" s="5" t="n">
        <v>46297</v>
      </c>
      <c r="D319" s="1" t="str">
        <v>EXPENSE</v>
      </c>
      <c r="E319" s="1" t="str">
        <v>HOUSING</v>
      </c>
      <c r="F319" s="4" t="n">
        <v>1800</v>
      </c>
      <c r="G319" s="1" t="str">
        <v>USD</v>
      </c>
    </row>
    <row r="320" ht="23" customHeight="1">
      <c r="A320" s="1" t="str">
        <v>T0319</v>
      </c>
      <c r="B320" s="1" t="str">
        <v>U080</v>
      </c>
      <c r="C320" s="5" t="n">
        <v>46298</v>
      </c>
      <c r="D320" s="1" t="str">
        <v>EXPENSE</v>
      </c>
      <c r="E320" s="1" t="str">
        <v>GROCERIES</v>
      </c>
      <c r="F320" s="4" t="n">
        <v>600</v>
      </c>
      <c r="G320" s="1" t="str">
        <v>USD</v>
      </c>
    </row>
    <row r="321" ht="23" customHeight="1">
      <c r="A321" s="1" t="str">
        <v>T0320</v>
      </c>
      <c r="B321" s="1" t="str">
        <v>U080</v>
      </c>
      <c r="C321" s="5" t="n">
        <v>46299</v>
      </c>
      <c r="D321" s="1" t="str">
        <v>EXPENSE</v>
      </c>
      <c r="E321" s="1" t="str">
        <v>UTILITIES</v>
      </c>
      <c r="F321" s="4" t="n">
        <v>300</v>
      </c>
      <c r="G321" s="1" t="str">
        <v>USD</v>
      </c>
    </row>
    <row r="322" ht="23" customHeight="1">
      <c r="A322" s="1" t="str">
        <v>T0321</v>
      </c>
      <c r="B322" s="1" t="str">
        <v>U081</v>
      </c>
      <c r="C322" s="5" t="n">
        <v>46296</v>
      </c>
      <c r="D322" s="1" t="str">
        <v>INCOME</v>
      </c>
      <c r="E322" s="1" t="str">
        <v>SALARY</v>
      </c>
      <c r="F322" s="4" t="n">
        <v>5810</v>
      </c>
      <c r="G322" s="1" t="str">
        <v>USD</v>
      </c>
    </row>
    <row r="323" ht="23" customHeight="1">
      <c r="A323" s="1" t="str">
        <v>T0322</v>
      </c>
      <c r="B323" s="1" t="str">
        <v>U081</v>
      </c>
      <c r="C323" s="5" t="n">
        <v>46297</v>
      </c>
      <c r="D323" s="1" t="str">
        <v>EXPENSE</v>
      </c>
      <c r="E323" s="1" t="str">
        <v>HOUSING</v>
      </c>
      <c r="F323" s="4" t="n">
        <v>1800</v>
      </c>
      <c r="G323" s="1" t="str">
        <v>USD</v>
      </c>
    </row>
    <row r="324" ht="23" customHeight="1">
      <c r="A324" s="1" t="str">
        <v>T0323</v>
      </c>
      <c r="B324" s="1" t="str">
        <v>U081</v>
      </c>
      <c r="C324" s="5" t="n">
        <v>46298</v>
      </c>
      <c r="D324" s="1" t="str">
        <v>EXPENSE</v>
      </c>
      <c r="E324" s="1" t="str">
        <v>GROCERIES</v>
      </c>
      <c r="F324" s="4" t="n">
        <v>600</v>
      </c>
      <c r="G324" s="1" t="str">
        <v>USD</v>
      </c>
    </row>
    <row r="325" ht="23" customHeight="1">
      <c r="A325" s="1" t="str">
        <v>T0324</v>
      </c>
      <c r="B325" s="1" t="str">
        <v>U081</v>
      </c>
      <c r="C325" s="5" t="n">
        <v>46299</v>
      </c>
      <c r="D325" s="1" t="str">
        <v>EXPENSE</v>
      </c>
      <c r="E325" s="1" t="str">
        <v>UTILITIES</v>
      </c>
      <c r="F325" s="4" t="n">
        <v>300</v>
      </c>
      <c r="G325" s="1" t="str">
        <v>USD</v>
      </c>
    </row>
    <row r="326" ht="23" customHeight="1">
      <c r="A326" s="1" t="str">
        <v>T0325</v>
      </c>
      <c r="B326" s="1" t="str">
        <v>U082</v>
      </c>
      <c r="C326" s="5" t="n">
        <v>46296</v>
      </c>
      <c r="D326" s="1" t="str">
        <v>INCOME</v>
      </c>
      <c r="E326" s="1" t="str">
        <v>SALARY</v>
      </c>
      <c r="F326" s="4" t="n">
        <v>5820</v>
      </c>
      <c r="G326" s="1" t="str">
        <v>USD</v>
      </c>
    </row>
    <row r="327" ht="23" customHeight="1">
      <c r="A327" s="1" t="str">
        <v>T0326</v>
      </c>
      <c r="B327" s="1" t="str">
        <v>U082</v>
      </c>
      <c r="C327" s="5" t="n">
        <v>46297</v>
      </c>
      <c r="D327" s="1" t="str">
        <v>EXPENSE</v>
      </c>
      <c r="E327" s="1" t="str">
        <v>HOUSING</v>
      </c>
      <c r="F327" s="4" t="n">
        <v>1800</v>
      </c>
      <c r="G327" s="1" t="str">
        <v>USD</v>
      </c>
    </row>
    <row r="328" ht="23" customHeight="1">
      <c r="A328" s="1" t="str">
        <v>T0327</v>
      </c>
      <c r="B328" s="1" t="str">
        <v>U082</v>
      </c>
      <c r="C328" s="5" t="n">
        <v>46298</v>
      </c>
      <c r="D328" s="1" t="str">
        <v>EXPENSE</v>
      </c>
      <c r="E328" s="1" t="str">
        <v>GROCERIES</v>
      </c>
      <c r="F328" s="4" t="n">
        <v>600</v>
      </c>
      <c r="G328" s="1" t="str">
        <v>USD</v>
      </c>
    </row>
    <row r="329" ht="23" customHeight="1">
      <c r="A329" s="1" t="str">
        <v>T0328</v>
      </c>
      <c r="B329" s="1" t="str">
        <v>U082</v>
      </c>
      <c r="C329" s="5" t="n">
        <v>46299</v>
      </c>
      <c r="D329" s="1" t="str">
        <v>EXPENSE</v>
      </c>
      <c r="E329" s="1" t="str">
        <v>UTILITIES</v>
      </c>
      <c r="F329" s="4" t="n">
        <v>300</v>
      </c>
      <c r="G329" s="1" t="str">
        <v>USD</v>
      </c>
    </row>
    <row r="330" ht="23" customHeight="1">
      <c r="A330" s="1" t="str">
        <v>T0329</v>
      </c>
      <c r="B330" s="1" t="str">
        <v>U083</v>
      </c>
      <c r="C330" s="5" t="n">
        <v>46296</v>
      </c>
      <c r="D330" s="1" t="str">
        <v>INCOME</v>
      </c>
      <c r="E330" s="1" t="str">
        <v>SALARY</v>
      </c>
      <c r="F330" s="4" t="n">
        <v>5830</v>
      </c>
      <c r="G330" s="1" t="str">
        <v>USD</v>
      </c>
    </row>
    <row r="331" ht="23" customHeight="1">
      <c r="A331" s="1" t="str">
        <v>T0330</v>
      </c>
      <c r="B331" s="1" t="str">
        <v>U083</v>
      </c>
      <c r="C331" s="5" t="n">
        <v>46297</v>
      </c>
      <c r="D331" s="1" t="str">
        <v>EXPENSE</v>
      </c>
      <c r="E331" s="1" t="str">
        <v>HOUSING</v>
      </c>
      <c r="F331" s="4" t="n">
        <v>1800</v>
      </c>
      <c r="G331" s="1" t="str">
        <v>USD</v>
      </c>
    </row>
    <row r="332" ht="23" customHeight="1">
      <c r="A332" s="1" t="str">
        <v>T0331</v>
      </c>
      <c r="B332" s="1" t="str">
        <v>U083</v>
      </c>
      <c r="C332" s="5" t="n">
        <v>46298</v>
      </c>
      <c r="D332" s="1" t="str">
        <v>EXPENSE</v>
      </c>
      <c r="E332" s="1" t="str">
        <v>GROCERIES</v>
      </c>
      <c r="F332" s="4" t="n">
        <v>600</v>
      </c>
      <c r="G332" s="1" t="str">
        <v>USD</v>
      </c>
    </row>
    <row r="333" ht="23" customHeight="1">
      <c r="A333" s="1" t="str">
        <v>T0332</v>
      </c>
      <c r="B333" s="1" t="str">
        <v>U083</v>
      </c>
      <c r="C333" s="5" t="n">
        <v>46299</v>
      </c>
      <c r="D333" s="1" t="str">
        <v>EXPENSE</v>
      </c>
      <c r="E333" s="1" t="str">
        <v>UTILITIES</v>
      </c>
      <c r="F333" s="4" t="n">
        <v>300</v>
      </c>
      <c r="G333" s="1" t="str">
        <v>USD</v>
      </c>
    </row>
    <row r="334" ht="23" customHeight="1">
      <c r="A334" s="1" t="str">
        <v>T0333</v>
      </c>
      <c r="B334" s="1" t="str">
        <v>U084</v>
      </c>
      <c r="C334" s="5" t="n">
        <v>46296</v>
      </c>
      <c r="D334" s="1" t="str">
        <v>INCOME</v>
      </c>
      <c r="E334" s="1" t="str">
        <v>SALARY</v>
      </c>
      <c r="F334" s="4" t="n">
        <v>5840</v>
      </c>
      <c r="G334" s="1" t="str">
        <v>USD</v>
      </c>
    </row>
    <row r="335" ht="23" customHeight="1">
      <c r="A335" s="1" t="str">
        <v>T0334</v>
      </c>
      <c r="B335" s="1" t="str">
        <v>U084</v>
      </c>
      <c r="C335" s="5" t="n">
        <v>46297</v>
      </c>
      <c r="D335" s="1" t="str">
        <v>EXPENSE</v>
      </c>
      <c r="E335" s="1" t="str">
        <v>HOUSING</v>
      </c>
      <c r="F335" s="4" t="n">
        <v>1800</v>
      </c>
      <c r="G335" s="1" t="str">
        <v>USD</v>
      </c>
    </row>
    <row r="336" ht="23" customHeight="1">
      <c r="A336" s="1" t="str">
        <v>T0335</v>
      </c>
      <c r="B336" s="1" t="str">
        <v>U084</v>
      </c>
      <c r="C336" s="5" t="n">
        <v>46298</v>
      </c>
      <c r="D336" s="1" t="str">
        <v>EXPENSE</v>
      </c>
      <c r="E336" s="1" t="str">
        <v>GROCERIES</v>
      </c>
      <c r="F336" s="4" t="n">
        <v>600</v>
      </c>
      <c r="G336" s="1" t="str">
        <v>USD</v>
      </c>
    </row>
    <row r="337" ht="23" customHeight="1">
      <c r="A337" s="1" t="str">
        <v>T0336</v>
      </c>
      <c r="B337" s="1" t="str">
        <v>U084</v>
      </c>
      <c r="C337" s="5" t="n">
        <v>46299</v>
      </c>
      <c r="D337" s="1" t="str">
        <v>EXPENSE</v>
      </c>
      <c r="E337" s="1" t="str">
        <v>UTILITIES</v>
      </c>
      <c r="F337" s="4" t="n">
        <v>300</v>
      </c>
      <c r="G337" s="1" t="str">
        <v>USD</v>
      </c>
    </row>
    <row r="338" ht="23" customHeight="1">
      <c r="A338" s="1" t="str">
        <v>T0337</v>
      </c>
      <c r="B338" s="1" t="str">
        <v>U085</v>
      </c>
      <c r="C338" s="5" t="n">
        <v>46296</v>
      </c>
      <c r="D338" s="1" t="str">
        <v>INCOME</v>
      </c>
      <c r="E338" s="1" t="str">
        <v>SALARY</v>
      </c>
      <c r="F338" s="4" t="n">
        <v>5850</v>
      </c>
      <c r="G338" s="1" t="str">
        <v>USD</v>
      </c>
    </row>
    <row r="339" ht="23" customHeight="1">
      <c r="A339" s="1" t="str">
        <v>T0338</v>
      </c>
      <c r="B339" s="1" t="str">
        <v>U085</v>
      </c>
      <c r="C339" s="5" t="n">
        <v>46297</v>
      </c>
      <c r="D339" s="1" t="str">
        <v>EXPENSE</v>
      </c>
      <c r="E339" s="1" t="str">
        <v>HOUSING</v>
      </c>
      <c r="F339" s="4" t="n">
        <v>1800</v>
      </c>
      <c r="G339" s="1" t="str">
        <v>USD</v>
      </c>
    </row>
    <row r="340" ht="23" customHeight="1">
      <c r="A340" s="1" t="str">
        <v>T0339</v>
      </c>
      <c r="B340" s="1" t="str">
        <v>U085</v>
      </c>
      <c r="C340" s="5" t="n">
        <v>46298</v>
      </c>
      <c r="D340" s="1" t="str">
        <v>EXPENSE</v>
      </c>
      <c r="E340" s="1" t="str">
        <v>GROCERIES</v>
      </c>
      <c r="F340" s="4" t="n">
        <v>600</v>
      </c>
      <c r="G340" s="1" t="str">
        <v>USD</v>
      </c>
    </row>
    <row r="341" ht="23" customHeight="1">
      <c r="A341" s="1" t="str">
        <v>T0340</v>
      </c>
      <c r="B341" s="1" t="str">
        <v>U085</v>
      </c>
      <c r="C341" s="5" t="n">
        <v>46299</v>
      </c>
      <c r="D341" s="1" t="str">
        <v>EXPENSE</v>
      </c>
      <c r="E341" s="1" t="str">
        <v>UTILITIES</v>
      </c>
      <c r="F341" s="4" t="n">
        <v>300</v>
      </c>
      <c r="G341" s="1" t="str">
        <v>USD</v>
      </c>
    </row>
    <row r="342" ht="23" customHeight="1">
      <c r="A342" s="1" t="str">
        <v>T0341</v>
      </c>
      <c r="B342" s="1" t="str">
        <v>U086</v>
      </c>
      <c r="C342" s="5" t="n">
        <v>46296</v>
      </c>
      <c r="D342" s="1" t="str">
        <v>INCOME</v>
      </c>
      <c r="E342" s="1" t="str">
        <v>SALARY</v>
      </c>
      <c r="F342" s="4" t="n">
        <v>5860</v>
      </c>
      <c r="G342" s="1" t="str">
        <v>USD</v>
      </c>
    </row>
    <row r="343" ht="23" customHeight="1">
      <c r="A343" s="1" t="str">
        <v>T0342</v>
      </c>
      <c r="B343" s="1" t="str">
        <v>U086</v>
      </c>
      <c r="C343" s="5" t="n">
        <v>46297</v>
      </c>
      <c r="D343" s="1" t="str">
        <v>EXPENSE</v>
      </c>
      <c r="E343" s="1" t="str">
        <v>HOUSING</v>
      </c>
      <c r="F343" s="4" t="n">
        <v>1800</v>
      </c>
      <c r="G343" s="1" t="str">
        <v>USD</v>
      </c>
    </row>
    <row r="344" ht="23" customHeight="1">
      <c r="A344" s="1" t="str">
        <v>T0343</v>
      </c>
      <c r="B344" s="1" t="str">
        <v>U086</v>
      </c>
      <c r="C344" s="5" t="n">
        <v>46298</v>
      </c>
      <c r="D344" s="1" t="str">
        <v>EXPENSE</v>
      </c>
      <c r="E344" s="1" t="str">
        <v>GROCERIES</v>
      </c>
      <c r="F344" s="4" t="n">
        <v>600</v>
      </c>
      <c r="G344" s="1" t="str">
        <v>USD</v>
      </c>
    </row>
    <row r="345" ht="23" customHeight="1">
      <c r="A345" s="1" t="str">
        <v>T0344</v>
      </c>
      <c r="B345" s="1" t="str">
        <v>U086</v>
      </c>
      <c r="C345" s="5" t="n">
        <v>46299</v>
      </c>
      <c r="D345" s="1" t="str">
        <v>EXPENSE</v>
      </c>
      <c r="E345" s="1" t="str">
        <v>UTILITIES</v>
      </c>
      <c r="F345" s="4" t="n">
        <v>300</v>
      </c>
      <c r="G345" s="1" t="str">
        <v>USD</v>
      </c>
    </row>
    <row r="346" ht="23" customHeight="1">
      <c r="A346" s="1" t="str">
        <v>T0345</v>
      </c>
      <c r="B346" s="1" t="str">
        <v>U087</v>
      </c>
      <c r="C346" s="5" t="n">
        <v>46296</v>
      </c>
      <c r="D346" s="1" t="str">
        <v>INCOME</v>
      </c>
      <c r="E346" s="1" t="str">
        <v>SALARY</v>
      </c>
      <c r="F346" s="4" t="n">
        <v>5870</v>
      </c>
      <c r="G346" s="1" t="str">
        <v>USD</v>
      </c>
    </row>
    <row r="347" ht="23" customHeight="1">
      <c r="A347" s="1" t="str">
        <v>T0346</v>
      </c>
      <c r="B347" s="1" t="str">
        <v>U087</v>
      </c>
      <c r="C347" s="5" t="n">
        <v>46297</v>
      </c>
      <c r="D347" s="1" t="str">
        <v>EXPENSE</v>
      </c>
      <c r="E347" s="1" t="str">
        <v>HOUSING</v>
      </c>
      <c r="F347" s="4" t="n">
        <v>1800</v>
      </c>
      <c r="G347" s="1" t="str">
        <v>USD</v>
      </c>
    </row>
    <row r="348" ht="23" customHeight="1">
      <c r="A348" s="1" t="str">
        <v>T0347</v>
      </c>
      <c r="B348" s="1" t="str">
        <v>U087</v>
      </c>
      <c r="C348" s="5" t="n">
        <v>46298</v>
      </c>
      <c r="D348" s="1" t="str">
        <v>EXPENSE</v>
      </c>
      <c r="E348" s="1" t="str">
        <v>GROCERIES</v>
      </c>
      <c r="F348" s="4" t="n">
        <v>600</v>
      </c>
      <c r="G348" s="1" t="str">
        <v>USD</v>
      </c>
    </row>
    <row r="349" ht="23" customHeight="1">
      <c r="A349" s="1" t="str">
        <v>T0348</v>
      </c>
      <c r="B349" s="1" t="str">
        <v>U087</v>
      </c>
      <c r="C349" s="5" t="n">
        <v>46299</v>
      </c>
      <c r="D349" s="1" t="str">
        <v>EXPENSE</v>
      </c>
      <c r="E349" s="1" t="str">
        <v>UTILITIES</v>
      </c>
      <c r="F349" s="4" t="n">
        <v>300</v>
      </c>
      <c r="G349" s="1" t="str">
        <v>USD</v>
      </c>
    </row>
    <row r="350" ht="23" customHeight="1">
      <c r="A350" s="1" t="str">
        <v>T0349</v>
      </c>
      <c r="B350" s="1" t="str">
        <v>U088</v>
      </c>
      <c r="C350" s="5" t="n">
        <v>46296</v>
      </c>
      <c r="D350" s="1" t="str">
        <v>INCOME</v>
      </c>
      <c r="E350" s="1" t="str">
        <v>SALARY</v>
      </c>
      <c r="F350" s="4" t="n">
        <v>5880</v>
      </c>
      <c r="G350" s="1" t="str">
        <v>USD</v>
      </c>
    </row>
    <row r="351" ht="23" customHeight="1">
      <c r="A351" s="1" t="str">
        <v>T0350</v>
      </c>
      <c r="B351" s="1" t="str">
        <v>U088</v>
      </c>
      <c r="C351" s="5" t="n">
        <v>46297</v>
      </c>
      <c r="D351" s="1" t="str">
        <v>EXPENSE</v>
      </c>
      <c r="E351" s="1" t="str">
        <v>HOUSING</v>
      </c>
      <c r="F351" s="4" t="n">
        <v>1800</v>
      </c>
      <c r="G351" s="1" t="str">
        <v>USD</v>
      </c>
    </row>
    <row r="352" ht="23" customHeight="1">
      <c r="A352" s="1" t="str">
        <v>T0351</v>
      </c>
      <c r="B352" s="1" t="str">
        <v>U088</v>
      </c>
      <c r="C352" s="5" t="n">
        <v>46298</v>
      </c>
      <c r="D352" s="1" t="str">
        <v>EXPENSE</v>
      </c>
      <c r="E352" s="1" t="str">
        <v>GROCERIES</v>
      </c>
      <c r="F352" s="4" t="n">
        <v>600</v>
      </c>
      <c r="G352" s="1" t="str">
        <v>USD</v>
      </c>
    </row>
    <row r="353" ht="23" customHeight="1">
      <c r="A353" s="1" t="str">
        <v>T0352</v>
      </c>
      <c r="B353" s="1" t="str">
        <v>U088</v>
      </c>
      <c r="C353" s="5" t="n">
        <v>46299</v>
      </c>
      <c r="D353" s="1" t="str">
        <v>EXPENSE</v>
      </c>
      <c r="E353" s="1" t="str">
        <v>UTILITIES</v>
      </c>
      <c r="F353" s="4" t="n">
        <v>300</v>
      </c>
      <c r="G353" s="1" t="str">
        <v>USD</v>
      </c>
    </row>
    <row r="354" ht="23" customHeight="1">
      <c r="A354" s="1" t="str">
        <v>T0353</v>
      </c>
      <c r="B354" s="1" t="str">
        <v>U089</v>
      </c>
      <c r="C354" s="5" t="n">
        <v>46296</v>
      </c>
      <c r="D354" s="1" t="str">
        <v>INCOME</v>
      </c>
      <c r="E354" s="1" t="str">
        <v>SALARY</v>
      </c>
      <c r="F354" s="4" t="n">
        <v>5890</v>
      </c>
      <c r="G354" s="1" t="str">
        <v>USD</v>
      </c>
    </row>
    <row r="355" ht="23" customHeight="1">
      <c r="A355" s="1" t="str">
        <v>T0354</v>
      </c>
      <c r="B355" s="1" t="str">
        <v>U089</v>
      </c>
      <c r="C355" s="5" t="n">
        <v>46297</v>
      </c>
      <c r="D355" s="1" t="str">
        <v>EXPENSE</v>
      </c>
      <c r="E355" s="1" t="str">
        <v>HOUSING</v>
      </c>
      <c r="F355" s="4" t="n">
        <v>1800</v>
      </c>
      <c r="G355" s="1" t="str">
        <v>USD</v>
      </c>
    </row>
    <row r="356" ht="23" customHeight="1">
      <c r="A356" s="1" t="str">
        <v>T0355</v>
      </c>
      <c r="B356" s="1" t="str">
        <v>U089</v>
      </c>
      <c r="C356" s="5" t="n">
        <v>46298</v>
      </c>
      <c r="D356" s="1" t="str">
        <v>EXPENSE</v>
      </c>
      <c r="E356" s="1" t="str">
        <v>GROCERIES</v>
      </c>
      <c r="F356" s="4" t="n">
        <v>600</v>
      </c>
      <c r="G356" s="1" t="str">
        <v>USD</v>
      </c>
    </row>
    <row r="357" ht="23" customHeight="1">
      <c r="A357" s="1" t="str">
        <v>T0356</v>
      </c>
      <c r="B357" s="1" t="str">
        <v>U089</v>
      </c>
      <c r="C357" s="5" t="n">
        <v>46299</v>
      </c>
      <c r="D357" s="1" t="str">
        <v>EXPENSE</v>
      </c>
      <c r="E357" s="1" t="str">
        <v>UTILITIES</v>
      </c>
      <c r="F357" s="4" t="n">
        <v>300</v>
      </c>
      <c r="G357" s="1" t="str">
        <v>USD</v>
      </c>
    </row>
    <row r="358" ht="23" customHeight="1">
      <c r="A358" s="1" t="str">
        <v>T0357</v>
      </c>
      <c r="B358" s="1" t="str">
        <v>U090</v>
      </c>
      <c r="C358" s="5" t="n">
        <v>46296</v>
      </c>
      <c r="D358" s="1" t="str">
        <v>INCOME</v>
      </c>
      <c r="E358" s="1" t="str">
        <v>SALARY</v>
      </c>
      <c r="F358" s="4" t="n">
        <v>5900</v>
      </c>
      <c r="G358" s="1" t="str">
        <v>USD</v>
      </c>
    </row>
    <row r="359" ht="23" customHeight="1">
      <c r="A359" s="1" t="str">
        <v>T0358</v>
      </c>
      <c r="B359" s="1" t="str">
        <v>U090</v>
      </c>
      <c r="C359" s="5" t="n">
        <v>46297</v>
      </c>
      <c r="D359" s="1" t="str">
        <v>EXPENSE</v>
      </c>
      <c r="E359" s="1" t="str">
        <v>HOUSING</v>
      </c>
      <c r="F359" s="4" t="n">
        <v>1800</v>
      </c>
      <c r="G359" s="1" t="str">
        <v>USD</v>
      </c>
    </row>
    <row r="360" ht="23" customHeight="1">
      <c r="A360" s="1" t="str">
        <v>T0359</v>
      </c>
      <c r="B360" s="1" t="str">
        <v>U090</v>
      </c>
      <c r="C360" s="5" t="n">
        <v>46298</v>
      </c>
      <c r="D360" s="1" t="str">
        <v>EXPENSE</v>
      </c>
      <c r="E360" s="1" t="str">
        <v>GROCERIES</v>
      </c>
      <c r="F360" s="4" t="n">
        <v>600</v>
      </c>
      <c r="G360" s="1" t="str">
        <v>USD</v>
      </c>
    </row>
    <row r="361" ht="23" customHeight="1">
      <c r="A361" s="1" t="str">
        <v>T0360</v>
      </c>
      <c r="B361" s="1" t="str">
        <v>U090</v>
      </c>
      <c r="C361" s="5" t="n">
        <v>46299</v>
      </c>
      <c r="D361" s="1" t="str">
        <v>EXPENSE</v>
      </c>
      <c r="E361" s="1" t="str">
        <v>UTILITIES</v>
      </c>
      <c r="F361" s="4" t="n">
        <v>300</v>
      </c>
      <c r="G361" s="1" t="str">
        <v>USD</v>
      </c>
    </row>
    <row r="362" ht="23" customHeight="1">
      <c r="A362" s="1" t="str">
        <v>T0361</v>
      </c>
      <c r="B362" s="1" t="str">
        <v>U091</v>
      </c>
      <c r="C362" s="5" t="n">
        <v>46296</v>
      </c>
      <c r="D362" s="1" t="str">
        <v>INCOME</v>
      </c>
      <c r="E362" s="1" t="str">
        <v>SALARY</v>
      </c>
      <c r="F362" s="4" t="n">
        <v>5910</v>
      </c>
      <c r="G362" s="1" t="str">
        <v>USD</v>
      </c>
    </row>
    <row r="363" ht="23" customHeight="1">
      <c r="A363" s="1" t="str">
        <v>T0362</v>
      </c>
      <c r="B363" s="1" t="str">
        <v>U091</v>
      </c>
      <c r="C363" s="5" t="n">
        <v>46297</v>
      </c>
      <c r="D363" s="1" t="str">
        <v>EXPENSE</v>
      </c>
      <c r="E363" s="1" t="str">
        <v>HOUSING</v>
      </c>
      <c r="F363" s="4" t="n">
        <v>1800</v>
      </c>
      <c r="G363" s="1" t="str">
        <v>USD</v>
      </c>
    </row>
    <row r="364" ht="23" customHeight="1">
      <c r="A364" s="1" t="str">
        <v>T0363</v>
      </c>
      <c r="B364" s="1" t="str">
        <v>U091</v>
      </c>
      <c r="C364" s="5" t="n">
        <v>46298</v>
      </c>
      <c r="D364" s="1" t="str">
        <v>EXPENSE</v>
      </c>
      <c r="E364" s="1" t="str">
        <v>GROCERIES</v>
      </c>
      <c r="F364" s="4" t="n">
        <v>600</v>
      </c>
      <c r="G364" s="1" t="str">
        <v>USD</v>
      </c>
    </row>
    <row r="365" ht="23" customHeight="1">
      <c r="A365" s="1" t="str">
        <v>T0364</v>
      </c>
      <c r="B365" s="1" t="str">
        <v>U091</v>
      </c>
      <c r="C365" s="5" t="n">
        <v>46299</v>
      </c>
      <c r="D365" s="1" t="str">
        <v>EXPENSE</v>
      </c>
      <c r="E365" s="1" t="str">
        <v>UTILITIES</v>
      </c>
      <c r="F365" s="4" t="n">
        <v>300</v>
      </c>
      <c r="G365" s="1" t="str">
        <v>USD</v>
      </c>
    </row>
    <row r="366" ht="23" customHeight="1">
      <c r="A366" s="1" t="str">
        <v>T0365</v>
      </c>
      <c r="B366" s="1" t="str">
        <v>U092</v>
      </c>
      <c r="C366" s="5" t="n">
        <v>46296</v>
      </c>
      <c r="D366" s="1" t="str">
        <v>INCOME</v>
      </c>
      <c r="E366" s="1" t="str">
        <v>SALARY</v>
      </c>
      <c r="F366" s="4" t="n">
        <v>5920</v>
      </c>
      <c r="G366" s="1" t="str">
        <v>USD</v>
      </c>
    </row>
    <row r="367" ht="23" customHeight="1">
      <c r="A367" s="1" t="str">
        <v>T0366</v>
      </c>
      <c r="B367" s="1" t="str">
        <v>U092</v>
      </c>
      <c r="C367" s="5" t="n">
        <v>46297</v>
      </c>
      <c r="D367" s="1" t="str">
        <v>EXPENSE</v>
      </c>
      <c r="E367" s="1" t="str">
        <v>HOUSING</v>
      </c>
      <c r="F367" s="4" t="n">
        <v>1800</v>
      </c>
      <c r="G367" s="1" t="str">
        <v>USD</v>
      </c>
    </row>
    <row r="368" ht="23" customHeight="1">
      <c r="A368" s="1" t="str">
        <v>T0367</v>
      </c>
      <c r="B368" s="1" t="str">
        <v>U092</v>
      </c>
      <c r="C368" s="5" t="n">
        <v>46298</v>
      </c>
      <c r="D368" s="1" t="str">
        <v>EXPENSE</v>
      </c>
      <c r="E368" s="1" t="str">
        <v>GROCERIES</v>
      </c>
      <c r="F368" s="4" t="n">
        <v>600</v>
      </c>
      <c r="G368" s="1" t="str">
        <v>USD</v>
      </c>
    </row>
    <row r="369" ht="23" customHeight="1">
      <c r="A369" s="1" t="str">
        <v>T0368</v>
      </c>
      <c r="B369" s="1" t="str">
        <v>U092</v>
      </c>
      <c r="C369" s="5" t="n">
        <v>46299</v>
      </c>
      <c r="D369" s="1" t="str">
        <v>EXPENSE</v>
      </c>
      <c r="E369" s="1" t="str">
        <v>UTILITIES</v>
      </c>
      <c r="F369" s="4" t="n">
        <v>300</v>
      </c>
      <c r="G369" s="1" t="str">
        <v>USD</v>
      </c>
    </row>
    <row r="370" ht="23" customHeight="1">
      <c r="A370" s="1" t="str">
        <v>T0369</v>
      </c>
      <c r="B370" s="1" t="str">
        <v>U093</v>
      </c>
      <c r="C370" s="5" t="n">
        <v>46296</v>
      </c>
      <c r="D370" s="1" t="str">
        <v>INCOME</v>
      </c>
      <c r="E370" s="1" t="str">
        <v>SALARY</v>
      </c>
      <c r="F370" s="4" t="n">
        <v>5930</v>
      </c>
      <c r="G370" s="1" t="str">
        <v>USD</v>
      </c>
    </row>
    <row r="371" ht="23" customHeight="1">
      <c r="A371" s="1" t="str">
        <v>T0370</v>
      </c>
      <c r="B371" s="1" t="str">
        <v>U093</v>
      </c>
      <c r="C371" s="5" t="n">
        <v>46297</v>
      </c>
      <c r="D371" s="1" t="str">
        <v>EXPENSE</v>
      </c>
      <c r="E371" s="1" t="str">
        <v>HOUSING</v>
      </c>
      <c r="F371" s="4" t="n">
        <v>1800</v>
      </c>
      <c r="G371" s="1" t="str">
        <v>USD</v>
      </c>
    </row>
    <row r="372" ht="23" customHeight="1">
      <c r="A372" s="1" t="str">
        <v>T0371</v>
      </c>
      <c r="B372" s="1" t="str">
        <v>U093</v>
      </c>
      <c r="C372" s="5" t="n">
        <v>46298</v>
      </c>
      <c r="D372" s="1" t="str">
        <v>EXPENSE</v>
      </c>
      <c r="E372" s="1" t="str">
        <v>GROCERIES</v>
      </c>
      <c r="F372" s="4" t="n">
        <v>600</v>
      </c>
      <c r="G372" s="1" t="str">
        <v>USD</v>
      </c>
    </row>
    <row r="373" ht="23" customHeight="1">
      <c r="A373" s="1" t="str">
        <v>T0372</v>
      </c>
      <c r="B373" s="1" t="str">
        <v>U093</v>
      </c>
      <c r="C373" s="5" t="n">
        <v>46299</v>
      </c>
      <c r="D373" s="1" t="str">
        <v>EXPENSE</v>
      </c>
      <c r="E373" s="1" t="str">
        <v>UTILITIES</v>
      </c>
      <c r="F373" s="4" t="n">
        <v>300</v>
      </c>
      <c r="G373" s="1" t="str">
        <v>USD</v>
      </c>
    </row>
    <row r="374" ht="23" customHeight="1">
      <c r="A374" s="1" t="str">
        <v>T0373</v>
      </c>
      <c r="B374" s="1" t="str">
        <v>U094</v>
      </c>
      <c r="C374" s="5" t="n">
        <v>46296</v>
      </c>
      <c r="D374" s="1" t="str">
        <v>INCOME</v>
      </c>
      <c r="E374" s="1" t="str">
        <v>SALARY</v>
      </c>
      <c r="F374" s="4" t="n">
        <v>5940</v>
      </c>
      <c r="G374" s="1" t="str">
        <v>USD</v>
      </c>
    </row>
    <row r="375" ht="23" customHeight="1">
      <c r="A375" s="1" t="str">
        <v>T0374</v>
      </c>
      <c r="B375" s="1" t="str">
        <v>U094</v>
      </c>
      <c r="C375" s="5" t="n">
        <v>46297</v>
      </c>
      <c r="D375" s="1" t="str">
        <v>EXPENSE</v>
      </c>
      <c r="E375" s="1" t="str">
        <v>HOUSING</v>
      </c>
      <c r="F375" s="4" t="n">
        <v>1800</v>
      </c>
      <c r="G375" s="1" t="str">
        <v>USD</v>
      </c>
    </row>
    <row r="376" ht="23" customHeight="1">
      <c r="A376" s="1" t="str">
        <v>T0375</v>
      </c>
      <c r="B376" s="1" t="str">
        <v>U094</v>
      </c>
      <c r="C376" s="5" t="n">
        <v>46298</v>
      </c>
      <c r="D376" s="1" t="str">
        <v>EXPENSE</v>
      </c>
      <c r="E376" s="1" t="str">
        <v>GROCERIES</v>
      </c>
      <c r="F376" s="4" t="n">
        <v>600</v>
      </c>
      <c r="G376" s="1" t="str">
        <v>USD</v>
      </c>
    </row>
    <row r="377" ht="23" customHeight="1">
      <c r="A377" s="1" t="str">
        <v>T0376</v>
      </c>
      <c r="B377" s="1" t="str">
        <v>U094</v>
      </c>
      <c r="C377" s="5" t="n">
        <v>46299</v>
      </c>
      <c r="D377" s="1" t="str">
        <v>EXPENSE</v>
      </c>
      <c r="E377" s="1" t="str">
        <v>UTILITIES</v>
      </c>
      <c r="F377" s="4" t="n">
        <v>300</v>
      </c>
      <c r="G377" s="1" t="str">
        <v>USD</v>
      </c>
    </row>
    <row r="378" ht="23" customHeight="1">
      <c r="A378" s="1" t="str">
        <v>T0377</v>
      </c>
      <c r="B378" s="1" t="str">
        <v>U095</v>
      </c>
      <c r="C378" s="5" t="n">
        <v>46296</v>
      </c>
      <c r="D378" s="1" t="str">
        <v>INCOME</v>
      </c>
      <c r="E378" s="1" t="str">
        <v>SALARY</v>
      </c>
      <c r="F378" s="4" t="n">
        <v>5950</v>
      </c>
      <c r="G378" s="1" t="str">
        <v>USD</v>
      </c>
    </row>
    <row r="379" ht="23" customHeight="1">
      <c r="A379" s="1" t="str">
        <v>T0378</v>
      </c>
      <c r="B379" s="1" t="str">
        <v>U095</v>
      </c>
      <c r="C379" s="5" t="n">
        <v>46297</v>
      </c>
      <c r="D379" s="1" t="str">
        <v>EXPENSE</v>
      </c>
      <c r="E379" s="1" t="str">
        <v>HOUSING</v>
      </c>
      <c r="F379" s="4" t="n">
        <v>1800</v>
      </c>
      <c r="G379" s="1" t="str">
        <v>USD</v>
      </c>
    </row>
    <row r="380" ht="23" customHeight="1">
      <c r="A380" s="1" t="str">
        <v>T0379</v>
      </c>
      <c r="B380" s="1" t="str">
        <v>U095</v>
      </c>
      <c r="C380" s="5" t="n">
        <v>46298</v>
      </c>
      <c r="D380" s="1" t="str">
        <v>EXPENSE</v>
      </c>
      <c r="E380" s="1" t="str">
        <v>GROCERIES</v>
      </c>
      <c r="F380" s="4" t="n">
        <v>600</v>
      </c>
      <c r="G380" s="1" t="str">
        <v>USD</v>
      </c>
    </row>
    <row r="381" ht="23" customHeight="1">
      <c r="A381" s="1" t="str">
        <v>T0380</v>
      </c>
      <c r="B381" s="1" t="str">
        <v>U095</v>
      </c>
      <c r="C381" s="5" t="n">
        <v>46299</v>
      </c>
      <c r="D381" s="1" t="str">
        <v>EXPENSE</v>
      </c>
      <c r="E381" s="1" t="str">
        <v>UTILITIES</v>
      </c>
      <c r="F381" s="4" t="n">
        <v>300</v>
      </c>
      <c r="G381" s="1" t="str">
        <v>USD</v>
      </c>
    </row>
    <row r="382" ht="23" customHeight="1">
      <c r="A382" s="1" t="str">
        <v>T0381</v>
      </c>
      <c r="B382" s="1" t="str">
        <v>U096</v>
      </c>
      <c r="C382" s="5" t="n">
        <v>46296</v>
      </c>
      <c r="D382" s="1" t="str">
        <v>INCOME</v>
      </c>
      <c r="E382" s="1" t="str">
        <v>SALARY</v>
      </c>
      <c r="F382" s="4" t="n">
        <v>5960</v>
      </c>
      <c r="G382" s="1" t="str">
        <v>USD</v>
      </c>
    </row>
    <row r="383" ht="23" customHeight="1">
      <c r="A383" s="1" t="str">
        <v>T0382</v>
      </c>
      <c r="B383" s="1" t="str">
        <v>U096</v>
      </c>
      <c r="C383" s="5" t="n">
        <v>46297</v>
      </c>
      <c r="D383" s="1" t="str">
        <v>EXPENSE</v>
      </c>
      <c r="E383" s="1" t="str">
        <v>HOUSING</v>
      </c>
      <c r="F383" s="4" t="n">
        <v>1800</v>
      </c>
      <c r="G383" s="1" t="str">
        <v>USD</v>
      </c>
    </row>
    <row r="384" ht="23" customHeight="1">
      <c r="A384" s="1" t="str">
        <v>T0383</v>
      </c>
      <c r="B384" s="1" t="str">
        <v>U096</v>
      </c>
      <c r="C384" s="5" t="n">
        <v>46298</v>
      </c>
      <c r="D384" s="1" t="str">
        <v>EXPENSE</v>
      </c>
      <c r="E384" s="1" t="str">
        <v>GROCERIES</v>
      </c>
      <c r="F384" s="4" t="n">
        <v>600</v>
      </c>
      <c r="G384" s="1" t="str">
        <v>USD</v>
      </c>
    </row>
    <row r="385" ht="23" customHeight="1">
      <c r="A385" s="1" t="str">
        <v>T0384</v>
      </c>
      <c r="B385" s="1" t="str">
        <v>U096</v>
      </c>
      <c r="C385" s="5" t="n">
        <v>46299</v>
      </c>
      <c r="D385" s="1" t="str">
        <v>EXPENSE</v>
      </c>
      <c r="E385" s="1" t="str">
        <v>UTILITIES</v>
      </c>
      <c r="F385" s="4" t="n">
        <v>300</v>
      </c>
      <c r="G385" s="1" t="str">
        <v>USD</v>
      </c>
    </row>
    <row r="386" ht="23" customHeight="1">
      <c r="A386" s="1" t="str">
        <v>T0385</v>
      </c>
      <c r="B386" s="1" t="str">
        <v>U097</v>
      </c>
      <c r="C386" s="5" t="n">
        <v>46296</v>
      </c>
      <c r="D386" s="1" t="str">
        <v>INCOME</v>
      </c>
      <c r="E386" s="1" t="str">
        <v>SALARY</v>
      </c>
      <c r="F386" s="4" t="n">
        <v>5970</v>
      </c>
      <c r="G386" s="1" t="str">
        <v>USD</v>
      </c>
    </row>
    <row r="387" ht="23" customHeight="1">
      <c r="A387" s="1" t="str">
        <v>T0386</v>
      </c>
      <c r="B387" s="1" t="str">
        <v>U097</v>
      </c>
      <c r="C387" s="5" t="n">
        <v>46297</v>
      </c>
      <c r="D387" s="1" t="str">
        <v>EXPENSE</v>
      </c>
      <c r="E387" s="1" t="str">
        <v>HOUSING</v>
      </c>
      <c r="F387" s="4" t="n">
        <v>1800</v>
      </c>
      <c r="G387" s="1" t="str">
        <v>USD</v>
      </c>
    </row>
    <row r="388" ht="23" customHeight="1">
      <c r="A388" s="1" t="str">
        <v>T0387</v>
      </c>
      <c r="B388" s="1" t="str">
        <v>U097</v>
      </c>
      <c r="C388" s="5" t="n">
        <v>46298</v>
      </c>
      <c r="D388" s="1" t="str">
        <v>EXPENSE</v>
      </c>
      <c r="E388" s="1" t="str">
        <v>GROCERIES</v>
      </c>
      <c r="F388" s="4" t="n">
        <v>600</v>
      </c>
      <c r="G388" s="1" t="str">
        <v>USD</v>
      </c>
    </row>
    <row r="389" ht="23" customHeight="1">
      <c r="A389" s="1" t="str">
        <v>T0388</v>
      </c>
      <c r="B389" s="1" t="str">
        <v>U097</v>
      </c>
      <c r="C389" s="5" t="n">
        <v>46299</v>
      </c>
      <c r="D389" s="1" t="str">
        <v>EXPENSE</v>
      </c>
      <c r="E389" s="1" t="str">
        <v>UTILITIES</v>
      </c>
      <c r="F389" s="4" t="n">
        <v>300</v>
      </c>
      <c r="G389" s="1" t="str">
        <v>USD</v>
      </c>
    </row>
    <row r="390" ht="23" customHeight="1">
      <c r="A390" s="1" t="str">
        <v>T0389</v>
      </c>
      <c r="B390" s="1" t="str">
        <v>U098</v>
      </c>
      <c r="C390" s="5" t="n">
        <v>46296</v>
      </c>
      <c r="D390" s="1" t="str">
        <v>INCOME</v>
      </c>
      <c r="E390" s="1" t="str">
        <v>SALARY</v>
      </c>
      <c r="F390" s="4" t="n">
        <v>5980</v>
      </c>
      <c r="G390" s="1" t="str">
        <v>USD</v>
      </c>
    </row>
    <row r="391" ht="23" customHeight="1">
      <c r="A391" s="1" t="str">
        <v>T0390</v>
      </c>
      <c r="B391" s="1" t="str">
        <v>U098</v>
      </c>
      <c r="C391" s="5" t="n">
        <v>46297</v>
      </c>
      <c r="D391" s="1" t="str">
        <v>EXPENSE</v>
      </c>
      <c r="E391" s="1" t="str">
        <v>HOUSING</v>
      </c>
      <c r="F391" s="4" t="n">
        <v>1800</v>
      </c>
      <c r="G391" s="1" t="str">
        <v>USD</v>
      </c>
    </row>
    <row r="392" ht="23" customHeight="1">
      <c r="A392" s="1" t="str">
        <v>T0391</v>
      </c>
      <c r="B392" s="1" t="str">
        <v>U098</v>
      </c>
      <c r="C392" s="5" t="n">
        <v>46298</v>
      </c>
      <c r="D392" s="1" t="str">
        <v>EXPENSE</v>
      </c>
      <c r="E392" s="1" t="str">
        <v>GROCERIES</v>
      </c>
      <c r="F392" s="4" t="n">
        <v>600</v>
      </c>
      <c r="G392" s="1" t="str">
        <v>USD</v>
      </c>
    </row>
    <row r="393" ht="23" customHeight="1">
      <c r="A393" s="1" t="str">
        <v>T0392</v>
      </c>
      <c r="B393" s="1" t="str">
        <v>U098</v>
      </c>
      <c r="C393" s="5" t="n">
        <v>46299</v>
      </c>
      <c r="D393" s="1" t="str">
        <v>EXPENSE</v>
      </c>
      <c r="E393" s="1" t="str">
        <v>UTILITIES</v>
      </c>
      <c r="F393" s="4" t="n">
        <v>300</v>
      </c>
      <c r="G393" s="1" t="str">
        <v>USD</v>
      </c>
    </row>
    <row r="394" ht="23" customHeight="1">
      <c r="A394" s="1" t="str">
        <v>T0393</v>
      </c>
      <c r="B394" s="1" t="str">
        <v>U099</v>
      </c>
      <c r="C394" s="5" t="n">
        <v>46296</v>
      </c>
      <c r="D394" s="1" t="str">
        <v>INCOME</v>
      </c>
      <c r="E394" s="1" t="str">
        <v>SALARY</v>
      </c>
      <c r="F394" s="4" t="n">
        <v>5990</v>
      </c>
      <c r="G394" s="1" t="str">
        <v>USD</v>
      </c>
    </row>
    <row r="395" ht="23" customHeight="1">
      <c r="A395" s="1" t="str">
        <v>T0394</v>
      </c>
      <c r="B395" s="1" t="str">
        <v>U099</v>
      </c>
      <c r="C395" s="5" t="n">
        <v>46297</v>
      </c>
      <c r="D395" s="1" t="str">
        <v>EXPENSE</v>
      </c>
      <c r="E395" s="1" t="str">
        <v>HOUSING</v>
      </c>
      <c r="F395" s="4" t="n">
        <v>1800</v>
      </c>
      <c r="G395" s="1" t="str">
        <v>USD</v>
      </c>
    </row>
    <row r="396" ht="23" customHeight="1">
      <c r="A396" s="1" t="str">
        <v>T0395</v>
      </c>
      <c r="B396" s="1" t="str">
        <v>U099</v>
      </c>
      <c r="C396" s="5" t="n">
        <v>46298</v>
      </c>
      <c r="D396" s="1" t="str">
        <v>EXPENSE</v>
      </c>
      <c r="E396" s="1" t="str">
        <v>GROCERIES</v>
      </c>
      <c r="F396" s="4" t="n">
        <v>600</v>
      </c>
      <c r="G396" s="1" t="str">
        <v>USD</v>
      </c>
    </row>
    <row r="397" ht="23" customHeight="1">
      <c r="A397" s="1" t="str">
        <v>T0396</v>
      </c>
      <c r="B397" s="1" t="str">
        <v>U099</v>
      </c>
      <c r="C397" s="5" t="n">
        <v>46299</v>
      </c>
      <c r="D397" s="1" t="str">
        <v>EXPENSE</v>
      </c>
      <c r="E397" s="1" t="str">
        <v>UTILITIES</v>
      </c>
      <c r="F397" s="4" t="n">
        <v>300</v>
      </c>
      <c r="G397" s="1" t="str">
        <v>USD</v>
      </c>
    </row>
    <row r="398" ht="23" customHeight="1">
      <c r="A398" s="1" t="str">
        <v>T0397</v>
      </c>
      <c r="B398" s="1" t="str">
        <v>U100</v>
      </c>
      <c r="C398" s="5" t="n">
        <v>46296</v>
      </c>
      <c r="D398" s="1" t="str">
        <v>INCOME</v>
      </c>
      <c r="E398" s="1" t="str">
        <v>SALARY</v>
      </c>
      <c r="F398" s="4" t="n">
        <v>6000</v>
      </c>
      <c r="G398" s="1" t="str">
        <v>USD</v>
      </c>
    </row>
    <row r="399" ht="23" customHeight="1">
      <c r="A399" s="1" t="str">
        <v>T0398</v>
      </c>
      <c r="B399" s="1" t="str">
        <v>U100</v>
      </c>
      <c r="C399" s="5" t="n">
        <v>46297</v>
      </c>
      <c r="D399" s="1" t="str">
        <v>EXPENSE</v>
      </c>
      <c r="E399" s="1" t="str">
        <v>HOUSING</v>
      </c>
      <c r="F399" s="4" t="n">
        <v>1800</v>
      </c>
      <c r="G399" s="1" t="str">
        <v>USD</v>
      </c>
    </row>
    <row r="400" ht="23" customHeight="1">
      <c r="A400" s="1" t="str">
        <v>T0399</v>
      </c>
      <c r="B400" s="1" t="str">
        <v>U100</v>
      </c>
      <c r="C400" s="5" t="n">
        <v>46298</v>
      </c>
      <c r="D400" s="1" t="str">
        <v>EXPENSE</v>
      </c>
      <c r="E400" s="1" t="str">
        <v>GROCERIES</v>
      </c>
      <c r="F400" s="4" t="n">
        <v>600</v>
      </c>
      <c r="G400" s="1" t="str">
        <v>USD</v>
      </c>
    </row>
    <row r="401" ht="23" customHeight="1">
      <c r="A401" s="1" t="str">
        <v>T0400</v>
      </c>
      <c r="B401" s="1" t="str">
        <v>U100</v>
      </c>
      <c r="C401" s="5" t="n">
        <v>46299</v>
      </c>
      <c r="D401" s="1" t="str">
        <v>EXPENSE</v>
      </c>
      <c r="E401" s="1" t="str">
        <v>UTILITIES</v>
      </c>
      <c r="F401" s="4" t="n">
        <v>300</v>
      </c>
      <c r="G401" s="1" t="str">
        <v>USD</v>
      </c>
    </row>
  </sheetData>
  <pageMargins left="0.7" right="0.7" top="0.75" bottom="0.75" header="0.3" footer="0.3"/>
  <tableParts count="1">
    <tablePart xmlns:r="http://schemas.openxmlformats.org/officeDocument/2006/relationships" r:id="R061db57258ab410f"/>
  </tableParts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4" hidden="0" customWidth="1"/>
    <col min="2" max="2" width="14" hidden="0" customWidth="1"/>
    <col min="3" max="3" width="14" hidden="0" customWidth="1"/>
    <col min="4" max="4" width="20" hidden="0" customWidth="1"/>
    <col min="5" max="5" width="20" hidden="0" customWidth="1"/>
    <col min="6" max="6" width="20" hidden="0" customWidth="1"/>
    <col min="7" max="7" width="25" hidden="0" customWidth="1"/>
    <col min="8" max="8" width="20" hidden="0" customWidth="1"/>
    <col min="9" max="9" width="39" hidden="0" customWidth="1"/>
  </cols>
  <sheetData>
    <row r="1" ht="30" customHeight="1">
      <c r="A1" s="3" t="str">
        <v>case_id</v>
      </c>
      <c r="B1" s="3" t="str">
        <v>goal_id</v>
      </c>
      <c r="C1" s="3" t="str">
        <v>user_id</v>
      </c>
      <c r="D1" s="3" t="str">
        <v>goal_type</v>
      </c>
      <c r="E1" s="3" t="str">
        <v>target_amount</v>
      </c>
      <c r="F1" s="3" t="str">
        <v>saved_amount</v>
      </c>
      <c r="G1" s="3" t="str">
        <v>monthly_contribution</v>
      </c>
      <c r="H1" s="3" t="str">
        <v>target_date</v>
      </c>
      <c r="I1" s="3" t="str">
        <v>expected_error</v>
      </c>
    </row>
    <row r="2" ht="23" customHeight="1">
      <c r="A2" s="1" t="str">
        <v>NEG01</v>
      </c>
      <c r="B2" s="1" t="str">
        <v>BAD01</v>
      </c>
      <c r="C2" s="1" t="str">
        <v>U001</v>
      </c>
      <c r="D2" s="1" t="str">
        <v>RETIREMENT</v>
      </c>
      <c r="E2" s="1" t="n">
        <v>-100</v>
      </c>
      <c r="F2" s="1" t="n">
        <v>0</v>
      </c>
      <c r="G2" s="1" t="n">
        <v>100</v>
      </c>
      <c r="H2" s="1" t="str">
        <v>2030-01-01</v>
      </c>
      <c r="I2" s="1" t="str">
        <v>Target must be greater than zero</v>
      </c>
    </row>
    <row r="3" ht="23" customHeight="1">
      <c r="A3" s="1" t="str">
        <v>NEG02</v>
      </c>
      <c r="B3" s="1" t="str">
        <v>BAD02</v>
      </c>
      <c r="C3" s="1" t="str">
        <v>U999</v>
      </c>
      <c r="D3" s="1" t="str">
        <v>EMERGENCY</v>
      </c>
      <c r="E3" s="1" t="n">
        <v>15000</v>
      </c>
      <c r="F3" s="1" t="n">
        <v>100</v>
      </c>
      <c r="G3" s="1" t="n">
        <v>100</v>
      </c>
      <c r="H3" s="1" t="str">
        <v>2030-01-01</v>
      </c>
      <c r="I3" s="1" t="str">
        <v>Unknown user</v>
      </c>
    </row>
    <row r="4" ht="23" customHeight="1">
      <c r="A4" s="1" t="str">
        <v>NEG03</v>
      </c>
      <c r="B4" s="1" t="str">
        <v>G0001</v>
      </c>
      <c r="C4" s="1" t="str">
        <v>U001</v>
      </c>
      <c r="D4" s="1" t="str">
        <v>RETIREMENT</v>
      </c>
      <c r="E4" s="1" t="n">
        <v>10000</v>
      </c>
      <c r="F4" s="1" t="n">
        <v>100</v>
      </c>
      <c r="G4" s="1" t="n">
        <v>100</v>
      </c>
      <c r="H4" s="1" t="str">
        <v>2030-01-01</v>
      </c>
      <c r="I4" s="1" t="str">
        <v>Duplicate goal ID</v>
      </c>
    </row>
    <row r="5" ht="23" customHeight="1">
      <c r="A5" s="1" t="str">
        <v>NEG04</v>
      </c>
      <c r="B5" s="1" t="str">
        <v>BAD04</v>
      </c>
      <c r="C5" s="1" t="str">
        <v>U001</v>
      </c>
      <c r="D5" s="1" t="str">
        <v>TRAVEL</v>
      </c>
      <c r="E5" s="1" t="n">
        <v>10000</v>
      </c>
      <c r="F5" s="1" t="n">
        <v>100</v>
      </c>
      <c r="G5" s="1" t="n">
        <v>100</v>
      </c>
      <c r="H5" s="1" t="str">
        <v>2030-01-01</v>
      </c>
      <c r="I5" s="1" t="str">
        <v>Unsupported goal type</v>
      </c>
    </row>
    <row r="6" ht="23" customHeight="1">
      <c r="A6" s="1" t="str">
        <v>NEG05</v>
      </c>
      <c r="B6" s="1" t="str">
        <v>BAD05</v>
      </c>
      <c r="C6" s="1" t="str">
        <v>U001</v>
      </c>
      <c r="D6" s="1" t="str">
        <v>COLLEGE</v>
      </c>
      <c r="E6" s="1" t="n">
        <v>10000</v>
      </c>
      <c r="F6" s="1" t="n">
        <v>-10</v>
      </c>
      <c r="G6" s="1" t="n">
        <v>100</v>
      </c>
      <c r="H6" s="1" t="str">
        <v>2030-01-01</v>
      </c>
      <c r="I6" s="1" t="str">
        <v>Saved amount cannot be negative</v>
      </c>
    </row>
    <row r="7" ht="23" customHeight="1">
      <c r="A7" s="1" t="str">
        <v>NEG06</v>
      </c>
      <c r="B7" s="1" t="str">
        <v>BAD06</v>
      </c>
      <c r="C7" s="1" t="str">
        <v>U001</v>
      </c>
      <c r="D7" s="1" t="str">
        <v>COLLEGE</v>
      </c>
      <c r="E7" s="1" t="n">
        <v>10000</v>
      </c>
      <c r="F7" s="1" t="n">
        <v>100</v>
      </c>
      <c r="G7" s="1" t="n">
        <v>100</v>
      </c>
      <c r="H7" s="1" t="str">
        <v>not-a-date</v>
      </c>
      <c r="I7" s="1" t="str">
        <v>Invalid date</v>
      </c>
    </row>
    <row r="8" ht="23" customHeight="1">
      <c r="A8" s="1" t="str">
        <v>NEG07</v>
      </c>
      <c r="B8" s="1" t="str">
        <v>BAD07</v>
      </c>
      <c r="C8" s="1" t="str">
        <v>U001</v>
      </c>
      <c r="D8" s="1" t="str">
        <v>COLLEGE</v>
      </c>
      <c r="E8" s="1" t="n">
        <v>10000</v>
      </c>
      <c r="F8" s="1" t="n">
        <v>100</v>
      </c>
      <c r="G8" s="1" t="n">
        <v>-100</v>
      </c>
      <c r="H8" s="1" t="str">
        <v>2030-01-01</v>
      </c>
      <c r="I8" s="1" t="str">
        <v>Contribution cannot be negative</v>
      </c>
    </row>
    <row r="9" ht="23" customHeight="1">
      <c r="A9" s="1" t="str">
        <v>NEG08</v>
      </c>
      <c r="B9" s="1" t="str">
        <v>BAD08</v>
      </c>
      <c r="C9" s="1" t="str"/>
      <c r="D9" s="1" t="str">
        <v>COLLEGE</v>
      </c>
      <c r="E9" s="1" t="n">
        <v>10000</v>
      </c>
      <c r="F9" s="1" t="n">
        <v>100</v>
      </c>
      <c r="G9" s="1" t="n">
        <v>100</v>
      </c>
      <c r="H9" s="1" t="str">
        <v>2030-01-01</v>
      </c>
      <c r="I9" s="1" t="str">
        <v>User ID is required</v>
      </c>
    </row>
  </sheetData>
  <pageMargins left="0.7" right="0.7" top="0.75" bottom="0.75" header="0.3" footer="0.3"/>
  <tableParts count="1">
    <tablePart xmlns:r="http://schemas.openxmlformats.org/officeDocument/2006/relationships" r:id="Rbf737db6c25d4690"/>
  </tableParts>
</worksheet>
</file>